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04b32bcb6745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8a5e2ffab8a545a8"/>
    <x:sheet xmlns:r="http://schemas.openxmlformats.org/officeDocument/2006/relationships" name="Command Portfolio" sheetId="2" r:id="R483d83a521ac472b"/>
    <x:sheet xmlns:r="http://schemas.openxmlformats.org/officeDocument/2006/relationships" name="Requirement Map" sheetId="3" r:id="R7cb5c05926444439"/>
    <x:sheet xmlns:r="http://schemas.openxmlformats.org/officeDocument/2006/relationships" name="Capability Catalog" sheetId="4" r:id="Raec05ce64e5940f1"/>
    <x:sheet xmlns:r="http://schemas.openxmlformats.org/officeDocument/2006/relationships" name="Fusion Bridge" sheetId="5" r:id="R349f710df1b14d17"/>
    <x:sheet xmlns:r="http://schemas.openxmlformats.org/officeDocument/2006/relationships" name="Idea &amp; Expansion Archive" sheetId="6" r:id="R5a6434ceff0144db"/>
    <x:sheet xmlns:r="http://schemas.openxmlformats.org/officeDocument/2006/relationships" name="Source Register" sheetId="7" r:id="Rc773285d7ff949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6161A"/>
      <x:name val="Carlito"/>
    </x:font>
    <x:font>
      <x:b/>
      <x:sz val="11"/>
      <x:color rgb="FFFFFFFF"/>
      <x:name val="Carlito"/>
    </x:font>
    <x:font>
      <x:b/>
      <x:sz val="11"/>
      <x:color rgb="FF1B1F3B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B1F3B"/>
      </x:patternFill>
    </x:fill>
    <x:fill>
      <x:patternFill patternType="solid">
        <x:fgColor rgb="FFFFF2CC"/>
      </x:patternFill>
    </x:fill>
    <x:fill>
      <x:patternFill patternType="solid">
        <x:fgColor rgb="FF2A1E4F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10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8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1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5" borderId="2" xfId="0" applyNumberFormat="1" applyFont="1" applyFill="1" applyBorder="1" applyAlignment="1">
      <x:alignment vertical="top" wrapText="1"/>
    </x:xf>
    <x:xf numFmtId="0" fontId="0" fillId="5" borderId="3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5" borderId="7" xfId="0" applyNumberFormat="1" applyFont="1" applyFill="1" applyBorder="1" applyAlignment="1">
      <x:alignment vertical="top" wrapText="1"/>
    </x:xf>
    <x:xf numFmtId="0" fontId="0" fillId="5" borderId="8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5" borderId="7" xfId="0" applyNumberFormat="1" applyFont="1" applyFill="1" applyBorder="1" applyAlignment="1">
      <x:alignment vertical="top" wrapText="1"/>
    </x:xf>
    <x:xf numFmtId="0" fontId="4" fillId="5" borderId="8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0" fillId="3" borderId="3" xfId="0" applyNumberFormat="1" applyFont="1" applyFill="1" applyBorder="1" applyAlignment="1">
      <x:alignment vertical="top" wrapText="1"/>
    </x:xf>
    <x:xf numFmtId="0" fontId="0" fillId="3" borderId="4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3" borderId="6" xfId="0" applyNumberFormat="1" applyFont="1" applyFill="1" applyBorder="1" applyAlignment="1">
      <x:alignment vertical="top" wrapText="1"/>
    </x:xf>
    <x:xf numFmtId="0" fontId="0" fillId="3" borderId="8" xfId="0" applyNumberFormat="1" applyFont="1" applyFill="1" applyBorder="1" applyAlignment="1">
      <x:alignment vertical="top" wrapText="1"/>
    </x:xf>
    <x:xf numFmtId="0" fontId="0" fillId="3" borderId="9" xfId="0" applyNumberFormat="1" applyFont="1" applyFill="1" applyBorder="1" applyAlignment="1">
      <x:alignment vertical="top" wrapText="1"/>
    </x:xf>
    <x:xf numFmtId="0" fontId="0" fillId="6" borderId="3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6" borderId="8" xfId="0" applyNumberFormat="1" applyFont="1" applyFill="1" applyBorder="1" applyAlignment="1">
      <x:alignment vertical="top" wrapText="1"/>
    </x:xf>
    <x:xf numFmtId="0" fontId="4" fillId="6" borderId="3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4" fillId="6" borderId="8" xfId="0" applyNumberFormat="1" applyFont="1" applyFill="1" applyBorder="1" applyAlignment="1">
      <x:alignment vertical="top" wrapText="1"/>
    </x:xf>
    <x:xf numFmtId="0" fontId="4" fillId="6" borderId="3" xfId="0" applyNumberFormat="1" applyFont="1" applyFill="1" applyBorder="1" applyAlignment="1">
      <x:alignment horizontal="center" vertical="top" wrapText="1"/>
    </x:xf>
    <x:xf numFmtId="0" fontId="4" fillId="6" borderId="1" xfId="0" applyNumberFormat="1" applyFont="1" applyFill="1" applyBorder="1" applyAlignment="1">
      <x:alignment horizontal="center" vertical="top" wrapText="1"/>
    </x:xf>
    <x:xf numFmtId="0" fontId="4" fillId="6" borderId="8" xfId="0" applyNumberFormat="1" applyFont="1" applyFill="1" applyBorder="1" applyAlignment="1">
      <x:alignment horizontal="center" vertical="top" wrapText="1"/>
    </x:xf>
    <x:xf numFmtId="0" fontId="4" fillId="0" borderId="2" xfId="0" applyNumberFormat="1" applyFont="1" applyFill="1" applyBorder="1" applyAlignment="1">
      <x:alignment horizontal="center" vertical="top" wrapText="1"/>
    </x:xf>
    <x:xf numFmtId="0" fontId="4" fillId="0" borderId="5" xfId="0" applyNumberFormat="1" applyFont="1" applyFill="1" applyBorder="1" applyAlignment="1">
      <x:alignment horizontal="center" vertical="top" wrapText="1"/>
    </x:xf>
    <x:xf numFmtId="0" fontId="4" fillId="0" borderId="7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3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1B1F3B"/>
      </x:font>
      <x:fill>
        <x:patternFill patternType="solid">
          <x:bgColor rgb="FFFFF2CC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3100d2febd408c" /><Relationship Type="http://schemas.openxmlformats.org/officeDocument/2006/relationships/theme" Target="/xl/theme/theme1.xml" Id="Rb9b0040f64b54aaa" /><Relationship Type="http://schemas.openxmlformats.org/officeDocument/2006/relationships/sharedStrings" Target="/xl/sharedStrings.xml" Id="R158691d3222a4582" /><Relationship Type="http://schemas.openxmlformats.org/officeDocument/2006/relationships/worksheet" Target="/xl/worksheets/sheet1.xml" Id="R8a5e2ffab8a545a8" /><Relationship Type="http://schemas.openxmlformats.org/officeDocument/2006/relationships/worksheet" Target="/xl/worksheets/sheet2.xml" Id="R483d83a521ac472b" /><Relationship Type="http://schemas.openxmlformats.org/officeDocument/2006/relationships/worksheet" Target="/xl/worksheets/sheet3.xml" Id="R7cb5c05926444439" /><Relationship Type="http://schemas.openxmlformats.org/officeDocument/2006/relationships/worksheet" Target="/xl/worksheets/sheet4.xml" Id="Raec05ce64e5940f1" /><Relationship Type="http://schemas.openxmlformats.org/officeDocument/2006/relationships/worksheet" Target="/xl/worksheets/sheet5.xml" Id="R349f710df1b14d17" /><Relationship Type="http://schemas.openxmlformats.org/officeDocument/2006/relationships/worksheet" Target="/xl/worksheets/sheet6.xml" Id="R5a6434ceff0144db" /><Relationship Type="http://schemas.openxmlformats.org/officeDocument/2006/relationships/worksheet" Target="/xl/worksheets/sheet7.xml" Id="Rc773285d7ff94936" /></Relationships>
</file>

<file path=xl/tables/table1.xml><?xml version="1.0" encoding="utf-8"?>
<x:table xmlns:x="http://schemas.openxmlformats.org/spreadsheetml/2006/main" id="1" name="CommandPortfolioTable" displayName="CommandPortfolioTable" ref="A6:P64" headerRowCount="1" totalsRowCount="0" totalsRowShown="0">
  <x:tableColumns count="16">
    <x:tableColumn id="1" name="Dossier Project ID"/>
    <x:tableColumn id="2" name="Project / Venture"/>
    <x:tableColumn id="3" name="Domain"/>
    <x:tableColumn id="4" name="Primary Build Form"/>
    <x:tableColumn id="5" name="Census Route"/>
    <x:tableColumn id="6" name="Portfolio Lane"/>
    <x:tableColumn id="7" name="Priority Evidence"/>
    <x:tableColumn id="8" name="Registry / Source Anchor"/>
    <x:tableColumn id="9" name="What It Is"/>
    <x:tableColumn id="10" name="MVP Build Entailment"/>
    <x:tableColumn id="11" name="Flexible MVP / Concession"/>
    <x:tableColumn id="12" name="Expansion / Add-on Roadmap"/>
    <x:tableColumn id="13" name="First-Dollar / Reputable Route"/>
    <x:tableColumn id="14" name="Project State"/>
    <x:tableColumn id="15" name="Executive Decision"/>
    <x:tableColumn id="1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RequirementMapTable" displayName="RequirementMapTable" ref="A6:H1051" headerRowCount="1" totalsRowCount="0" totalsRowShown="0">
  <x:tableColumns count="8">
    <x:tableColumn id="1" name="Dossier Project ID"/>
    <x:tableColumn id="2" name="Project"/>
    <x:tableColumn id="3" name="Family ID"/>
    <x:tableColumn id="4" name="Capability Family"/>
    <x:tableColumn id="5" name="Requirement Level"/>
    <x:tableColumn id="6" name="Census Treatment"/>
    <x:tableColumn id="7" name="Why This Project Needs It"/>
    <x:tableColumn id="8" name="Source / Scope 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CapabilityCatalogTable" displayName="CapabilityCatalogTable" ref="A6:E46" headerRowCount="1" totalsRowCount="0" totalsRowShown="0">
  <x:tableColumns count="5">
    <x:tableColumn id="1" name="Family ID"/>
    <x:tableColumn id="2" name="Canonical Capability Family"/>
    <x:tableColumn id="3" name="Demand-Side Definition"/>
    <x:tableColumn id="4" name="Census Evaluation Area"/>
    <x:tableColumn id="5" name="Catalog 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usionBridgeTable" displayName="FusionBridgeTable" ref="A6:N64" headerRowCount="1" totalsRowCount="0" totalsRowShown="0">
  <x:tableColumns count="14">
    <x:tableColumn id="1" name="Dossier Project ID"/>
    <x:tableColumn id="2" name="Project"/>
    <x:tableColumn id="3" name="Portfolio Lane"/>
    <x:tableColumn id="4" name="Census Route"/>
    <x:tableColumn id="5" name="Must FAM Count"/>
    <x:tableColumn id="6" name="Important FAM Count"/>
    <x:tableColumn id="7" name="Expansion FAM Count"/>
    <x:tableColumn id="8" name="Strict Join Key"/>
    <x:tableColumn id="9" name="Flexible Join Key"/>
    <x:tableColumn id="10" name="Census Readiness"/>
    <x:tableColumn id="11" name="Strict Route Result"/>
    <x:tableColumn id="12" name="Flexible Route Result"/>
    <x:tableColumn id="13" name="Chosen Builder / Stack"/>
    <x:tableColumn id="14" name="Decision No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IdeaArchiveTable" displayName="IdeaArchiveTable" ref="A6:I217" headerRowCount="1" totalsRowCount="0" totalsRowShown="0">
  <x:tableColumns count="9">
    <x:tableColumn id="1" name="Inventory #"/>
    <x:tableColumn id="2" name="Original Idea / Record"/>
    <x:tableColumn id="3" name="Tags / Status"/>
    <x:tableColumn id="4" name="Source Section"/>
    <x:tableColumn id="5" name="Original Description"/>
    <x:tableColumn id="6" name="Mapped Dossier Project ID"/>
    <x:tableColumn id="7" name="Mapped Parent Project"/>
    <x:tableColumn id="8" name="Dossier Treatment"/>
    <x:tableColumn id="9" name="Mapping Confiden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ourceRegisterTable" displayName="SourceRegisterTable" ref="A6:F14" headerRowCount="1" totalsRowCount="0" totalsRowShown="0">
  <x:tableColumns count="6">
    <x:tableColumn id="1" name="Source ID"/>
    <x:tableColumn id="2" name="Source"/>
    <x:tableColumn id="3" name="What It Contributed"/>
    <x:tableColumn id="4" name="V7 Treatment"/>
    <x:tableColumn id="5" name="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34fba7b2d9a48b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1f69b3437b04f6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66464ae8c874d6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9cbd9a56bc248a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79033410115409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29054dbddf64fa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6" hidden="0" customWidth="1"/>
    <x:col min="3" max="3" width="24" hidden="0" customWidth="1"/>
    <x:col min="4" max="4" width="14" hidden="0" customWidth="1"/>
    <x:col min="5" max="5" width="8" hidden="0" customWidth="1"/>
    <x:col min="6" max="6" width="44" hidden="0" customWidth="1"/>
    <x:col min="7" max="7" width="30" hidden="0" customWidth="1"/>
    <x:col min="8" max="8" width="24" hidden="0" customWidth="1"/>
  </x:cols>
  <x:sheetData>
    <x:row r="1" ht="30" customHeight="1">
      <x:c r="A1" s="4" t="str">
        <x:v>ZAF DOSSIER V7 — LIVING PROJECT DEMAND SYSTEM</x:v>
      </x:c>
    </x:row>
    <x:row r="2" ht="28" customHeight="1">
      <x:c r="A2" s="8" t="str">
        <x:v>Census defines platform supply. This Dossier defines project demand. Fusion compares them by Dossier Project ID + FAM capability family.</x:v>
      </x:c>
    </x:row>
    <x:row r="4">
      <x:c r="A4" s="14" t="str">
        <x:v>Layer</x:v>
      </x:c>
      <x:c r="B4" s="14" t="str"/>
      <x:c r="C4" s="14" t="str"/>
      <x:c r="D4" s="14" t="str">
        <x:v>Role and guardrail</x:v>
      </x:c>
      <x:c r="E4" s="14" t="str"/>
      <x:c r="F4" s="14" t="str"/>
      <x:c r="G4" s="14" t="str"/>
      <x:c r="H4" s="14" t="str"/>
    </x:row>
    <x:row r="5">
      <x:c r="A5" s="51" t="str">
        <x:v>Executive project list</x:v>
      </x:c>
      <x:c r="B5" s="51" t="str"/>
      <x:c r="C5" s="51" t="str"/>
      <x:c r="D5" s="37" t="str">
        <x:v>One clean row per real buildable project, venture, website, product system, or credibility route. Modules, phases, and business models are nested below their parent.</x:v>
      </x:c>
      <x:c r="E5" s="37" t="str"/>
      <x:c r="F5" s="37" t="str"/>
      <x:c r="G5" s="37" t="str"/>
      <x:c r="H5" s="37" t="str"/>
    </x:row>
    <x:row r="6">
      <x:c r="A6" s="51" t="str">
        <x:v>Requirement layer</x:v>
      </x:c>
      <x:c r="B6" s="51" t="str"/>
      <x:c r="C6" s="51" t="str"/>
      <x:c r="D6" s="37" t="str">
        <x:v>Each parent project becomes Must / Important / Expansion requirements using the Census FAM-01…FAM-40 vocabulary. Unknown Census support means research required, not unsupported.</x:v>
      </x:c>
      <x:c r="E6" s="37" t="str"/>
      <x:c r="F6" s="37" t="str"/>
      <x:c r="G6" s="37" t="str"/>
      <x:c r="H6" s="37" t="str"/>
    </x:row>
    <x:row r="7">
      <x:c r="A7" s="51" t="str">
        <x:v>Fusion layer</x:v>
      </x:c>
      <x:c r="B7" s="51" t="str"/>
      <x:c r="C7" s="51" t="str"/>
      <x:c r="D7" s="37" t="str">
        <x:v>Strict route = all Must capabilities. Flexible route = optional features delayed. No builder recommendation is invented before Census facts exist.</x:v>
      </x:c>
      <x:c r="E7" s="37" t="str"/>
      <x:c r="F7" s="37" t="str"/>
      <x:c r="G7" s="37" t="str"/>
      <x:c r="H7" s="37" t="str"/>
    </x:row>
    <x:row r="9">
      <x:c r="A9" s="10" t="str">
        <x:v>Portfolio snapshot</x:v>
      </x:c>
      <x:c r="B9" t="str"/>
      <x:c r="C9" t="str"/>
      <x:c r="E9" s="10" t="str">
        <x:v>Use order</x:v>
      </x:c>
      <x:c r="F9" t="str"/>
      <x:c r="G9" t="str"/>
      <x:c r="H9" t="str"/>
    </x:row>
    <x:row r="10">
      <x:c r="A10" s="54" t="str">
        <x:v>Parent projects</x:v>
      </x:c>
      <x:c r="B10" s="57" t="n">
        <x:f>COUNTA('Command Portfolio'!A7:A200)</x:f>
        <x:v>58</x:v>
      </x:c>
      <x:c r="E10" s="58" t="n">
        <x:v>1</x:v>
      </x:c>
      <x:c r="F10" s="37" t="str">
        <x:v>Start in Command Portfolio. Filter to First Wave or a route you are ready to decide.</x:v>
      </x:c>
      <x:c r="G10" s="37" t="str"/>
      <x:c r="H10" s="37" t="str"/>
    </x:row>
    <x:row r="11">
      <x:c r="A11" s="54" t="str">
        <x:v>First Wave projects</x:v>
      </x:c>
      <x:c r="B11" s="57" t="n">
        <x:f>COUNTIF('Command Portfolio'!F7:F200,"First Wave")</x:f>
        <x:v>24</x:v>
      </x:c>
      <x:c r="E11" s="58" t="n">
        <x:v>2</x:v>
      </x:c>
      <x:c r="F11" s="37" t="str">
        <x:v>Read its MVP, flexible concession, and expansion path. That is the actual demand brief.</x:v>
      </x:c>
      <x:c r="G11" s="37" t="str"/>
      <x:c r="H11" s="37" t="str"/>
    </x:row>
    <x:row r="12">
      <x:c r="A12" s="54" t="str">
        <x:v>Direct Census routes</x:v>
      </x:c>
      <x:c r="B12" s="57" t="n">
        <x:f>COUNTIF('Command Portfolio'!E7:E200,"Direct Census comparison")</x:f>
        <x:v>47</x:v>
      </x:c>
      <x:c r="E12" s="58" t="n">
        <x:v>3</x:v>
      </x:c>
      <x:c r="F12" s="37" t="str">
        <x:v>Use Requirement Map / Fusion Bridge to compare only the relevant Census FAM families.</x:v>
      </x:c>
      <x:c r="G12" s="37" t="str"/>
      <x:c r="H12" s="37" t="str"/>
    </x:row>
    <x:row r="13">
      <x:c r="A13" s="54" t="str">
        <x:v>Supporting site/commerce routes</x:v>
      </x:c>
      <x:c r="B13" s="57" t="n">
        <x:f>COUNTIF('Command Portfolio'!E7:E200,"Supporting website / commerce route")</x:f>
        <x:v>6</x:v>
      </x:c>
      <x:c r="E13" s="58" t="n">
        <x:v>4</x:v>
      </x:c>
      <x:c r="F13" s="37" t="str">
        <x:v>Choose Build First / Build Later only after strict and flexible routes are visible.</x:v>
      </x:c>
      <x:c r="G13" s="37" t="str"/>
      <x:c r="H13" s="37" t="str"/>
    </x:row>
    <x:row r="14">
      <x:c r="A14" s="54" t="str">
        <x:v>Needs-definition routes</x:v>
      </x:c>
      <x:c r="B14" s="57" t="n">
        <x:f>COUNTIF('Command Portfolio'!F7:F200,"Needs Definition")</x:f>
        <x:v>9</x:v>
      </x:c>
      <x:c r="E14" s="58" t="n">
        <x:v>5</x:v>
      </x:c>
      <x:c r="F14" s="37" t="str">
        <x:v>Keep the raw archive intact. Map a new idea under a parent or create a new parent deliberately.</x:v>
      </x:c>
      <x:c r="G14" s="37" t="str"/>
      <x:c r="H14" s="37" t="str"/>
    </x:row>
    <x:row r="15">
      <x:c r="A15" s="54" t="str">
        <x:v>Raw inventory records</x:v>
      </x:c>
      <x:c r="B15" s="57" t="n">
        <x:f>COUNTA('Idea &amp; Expansion Archive'!A7:A300)</x:f>
        <x:v>211</x:v>
      </x:c>
    </x:row>
  </x:sheetData>
  <x:mergeCells>
    <x:mergeCell ref="A1:H1"/>
    <x:mergeCell ref="A2:H2"/>
    <x:mergeCell ref="A4:C4"/>
    <x:mergeCell ref="D4:H4"/>
    <x:mergeCell ref="A5:C5"/>
    <x:mergeCell ref="D5:H5"/>
    <x:mergeCell ref="A6:C6"/>
    <x:mergeCell ref="D6:H6"/>
    <x:mergeCell ref="A7:C7"/>
    <x:mergeCell ref="D7:H7"/>
    <x:mergeCell ref="A9:C9"/>
    <x:mergeCell ref="E9:H9"/>
    <x:mergeCell ref="F10:H10"/>
    <x:mergeCell ref="F11:H11"/>
    <x:mergeCell ref="F12:H12"/>
    <x:mergeCell ref="F13:H13"/>
    <x:mergeCell ref="F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3" hidden="0" customWidth="1"/>
    <x:col min="3" max="3" width="18" hidden="0" customWidth="1"/>
    <x:col min="4" max="4" width="26" hidden="0" customWidth="1"/>
    <x:col min="5" max="5" width="26" hidden="0" customWidth="1"/>
    <x:col min="6" max="6" width="16" hidden="0" customWidth="1"/>
    <x:col min="7" max="7" width="32" hidden="0" customWidth="1"/>
    <x:col min="8" max="8" width="22" hidden="0" customWidth="1"/>
    <x:col min="9" max="9" width="42" hidden="0" customWidth="1"/>
    <x:col min="10" max="10" width="56" hidden="0" customWidth="1"/>
    <x:col min="11" max="11" width="48" hidden="0" customWidth="1"/>
    <x:col min="12" max="12" width="54" hidden="0" customWidth="1"/>
    <x:col min="13" max="13" width="36" hidden="0" customWidth="1"/>
    <x:col min="14" max="14" width="23" hidden="0" customWidth="1"/>
    <x:col min="15" max="15" width="18" hidden="0" customWidth="1"/>
    <x:col min="16" max="16" width="28" hidden="0" customWidth="1"/>
  </x:cols>
  <x:sheetData>
    <x:row r="1" ht="30" customHeight="1">
      <x:c r="A1" s="4" t="str">
        <x:v>COMMAND PORTFOLIO — REAL PROJECTS, NOT A FEATURE GRAVEYARD</x:v>
      </x:c>
    </x:row>
    <x:row r="2" ht="28" customHeight="1">
      <x:c r="A2" s="8" t="str">
        <x:v>One row is a project/venture/system that could receive a build route. Modules and raw concepts are mapped below it in Idea &amp; Expansion Archive.</x:v>
      </x:c>
    </x:row>
    <x:row r="6">
      <x:c r="A6" s="14" t="str">
        <x:v>Dossier Project ID</x:v>
      </x:c>
      <x:c r="B6" s="14" t="str">
        <x:v>Project / Venture</x:v>
      </x:c>
      <x:c r="C6" s="14" t="str">
        <x:v>Domain</x:v>
      </x:c>
      <x:c r="D6" s="14" t="str">
        <x:v>Primary Build Form</x:v>
      </x:c>
      <x:c r="E6" s="14" t="str">
        <x:v>Census Route</x:v>
      </x:c>
      <x:c r="F6" s="14" t="str">
        <x:v>Portfolio Lane</x:v>
      </x:c>
      <x:c r="G6" s="14" t="str">
        <x:v>Priority Evidence</x:v>
      </x:c>
      <x:c r="H6" s="14" t="str">
        <x:v>Registry / Source Anchor</x:v>
      </x:c>
      <x:c r="I6" s="14" t="str">
        <x:v>What It Is</x:v>
      </x:c>
      <x:c r="J6" s="14" t="str">
        <x:v>MVP Build Entailment</x:v>
      </x:c>
      <x:c r="K6" s="14" t="str">
        <x:v>Flexible MVP / Concession</x:v>
      </x:c>
      <x:c r="L6" s="14" t="str">
        <x:v>Expansion / Add-on Roadmap</x:v>
      </x:c>
      <x:c r="M6" s="14" t="str">
        <x:v>First-Dollar / Reputable Route</x:v>
      </x:c>
      <x:c r="N6" s="14" t="str">
        <x:v>Project State</x:v>
      </x:c>
      <x:c r="O6" s="14" t="str">
        <x:v>Executive Decision</x:v>
      </x:c>
      <x:c r="P6" s="14" t="str">
        <x:v>Notes</x:v>
      </x:c>
    </x:row>
    <x:row r="7" ht="66" customHeight="1">
      <x:c r="A7" s="59" t="str">
        <x:v>DOS-001</x:v>
      </x:c>
      <x:c r="B7" s="34" t="str">
        <x:v>KaraokeDokie — Phase 1</x:v>
      </x:c>
      <x:c r="C7" s="34" t="str">
        <x:v>KaraokeDokie</x:v>
      </x:c>
      <x:c r="D7" s="34" t="str">
        <x:v>PWA / AI creative-production product</x:v>
      </x:c>
      <x:c r="E7" s="34" t="str">
        <x:v>Direct Census comparison</x:v>
      </x:c>
      <x:c r="F7" s="43" t="str">
        <x:v>First Wave</x:v>
      </x:c>
      <x:c r="G7" s="34" t="str">
        <x:v>V5.2 Core Energy #1; Master Priority #3</x:v>
      </x:c>
      <x:c r="H7" s="34" t="str">
        <x:v>ZAF-0001</x:v>
      </x:c>
      <x:c r="I7" s="34" t="str">
        <x:v>Song title in; coherent performance package out.</x:v>
      </x:c>
      <x:c r="J7" s="34" t="str">
        <x:v>Song lock, SongDNA, three creative directions, cover art, 12-image story, timing/export guide, publishing pack.</x:v>
      </x:c>
      <x:c r="K7" s="34" t="str">
        <x:v>Start title-only with no audio upload, minimal account/history, and one export package.</x:v>
      </x:c>
      <x:c r="L7" s="34" t="str">
        <x:v>Optional personal inputs; performer insertion; dedications; market/premium packs; later media intelligence.</x:v>
      </x:c>
      <x:c r="M7" s="34" t="str">
        <x:v>Performance Pack / dedication packs.</x:v>
      </x:c>
      <x:c r="N7" s="34" t="str">
        <x:v>ACTIVE EXPLORATION</x:v>
      </x:c>
      <x:c r="O7" s="62" t="str">
        <x:v>Undecided</x:v>
      </x:c>
      <x:c r="P7" s="63" t="str"/>
    </x:row>
    <x:row r="8" ht="66" customHeight="1">
      <x:c r="A8" s="60" t="str">
        <x:v>DOS-002</x:v>
      </x:c>
      <x:c r="B8" s="37" t="str">
        <x:v>KaraokeDokie — Media Intelligence &amp; Phase 2</x:v>
      </x:c>
      <x:c r="C8" s="37" t="str">
        <x:v>KaraokeDokie</x:v>
      </x:c>
      <x:c r="D8" s="37" t="str">
        <x:v>Media-analysis PWA / advanced stack</x:v>
      </x:c>
      <x:c r="E8" s="37" t="str">
        <x:v>Direct Census comparison</x:v>
      </x:c>
      <x:c r="F8" s="45" t="str">
        <x:v>Expansion</x:v>
      </x:c>
      <x:c r="G8" s="37" t="str">
        <x:v>Master Priority #21–30; source Phase 2 roadmap</x:v>
      </x:c>
      <x:c r="H8" s="37" t="str">
        <x:v>ZAF-0129</x:v>
      </x:c>
      <x:c r="I8" s="37" t="str">
        <x:v>Uploaded performances become analysable, improvable, and exportable creative projects.</x:v>
      </x:c>
      <x:c r="J8" s="37" t="str">
        <x:v>MP3/MP4 intake, critique, rating, timestamped fixes, visual auto-sync, highlight extraction, safe export.</x:v>
      </x:c>
      <x:c r="K8" s="37" t="str">
        <x:v>Begin with analysis, feedback, and export; defer automated remaster/DSP and advanced music-video rendering.</x:v>
      </x:c>
      <x:c r="L8" s="37" t="str">
        <x:v>Remaster studio, vocal fingerprint, best-take compiler, harmony designer, advanced video upgrade.</x:v>
      </x:c>
      <x:c r="M8" s="37" t="str">
        <x:v>Premium performance intelligence / media packs.</x:v>
      </x:c>
      <x:c r="N8" s="37" t="str">
        <x:v>ACTIVE EXPLORATION</x:v>
      </x:c>
      <x:c r="O8" s="64" t="str">
        <x:v>Undecided</x:v>
      </x:c>
      <x:c r="P8" s="65" t="str"/>
    </x:row>
    <x:row r="9" ht="66" customHeight="1">
      <x:c r="A9" s="60" t="str">
        <x:v>DOS-003</x:v>
      </x:c>
      <x:c r="B9" s="37" t="str">
        <x:v>Karaoke 2.0 / Digital Isolation Chamber</x:v>
      </x:c>
      <x:c r="C9" s="37" t="str">
        <x:v>ZAF music production</x:v>
      </x:c>
      <x:c r="D9" s="37" t="str">
        <x:v>Future recording/artist-development platform</x:v>
      </x:c>
      <x:c r="E9" s="37" t="str">
        <x:v>Direct Census comparison</x:v>
      </x:c>
      <x:c r="F9" s="45" t="str">
        <x:v>Long-Horizon</x:v>
      </x:c>
      <x:c r="G9" s="37" t="str">
        <x:v>V5.2 Core Energy #22; Master Priority #42</x:v>
      </x:c>
      <x:c r="H9" s="37" t="str">
        <x:v>ZAF-0162</x:v>
      </x:c>
      <x:c r="I9" s="37" t="str">
        <x:v>Serious recording, artist development, and production environment distinct from KaraokeDokie.</x:v>
      </x:c>
      <x:c r="J9" s="37" t="str">
        <x:v>Define human-service production offer, artist workflow, and simple digital preparation room.</x:v>
      </x:c>
      <x:c r="K9" s="37" t="str">
        <x:v>Use service/booking and resource portal first; defer full recording technology.</x:v>
      </x:c>
      <x:c r="L9" s="37" t="str">
        <x:v>Vocal Booth, isolation workflows, deeper production tools, native/device integrations.</x:v>
      </x:c>
      <x:c r="M9" s="37" t="str">
        <x:v>Production services / premium creator pathways.</x:v>
      </x:c>
      <x:c r="N9" s="37" t="str">
        <x:v>LATER CORE</x:v>
      </x:c>
      <x:c r="O9" s="64" t="str">
        <x:v>Undecided</x:v>
      </x:c>
      <x:c r="P9" s="65" t="str"/>
    </x:row>
    <x:row r="10" ht="66" customHeight="1">
      <x:c r="A10" s="60" t="str">
        <x:v>DOS-004</x:v>
      </x:c>
      <x:c r="B10" s="37" t="str">
        <x:v>Zafstagram</x:v>
      </x:c>
      <x:c r="C10" s="37" t="str">
        <x:v>ZAF ecosystem</x:v>
      </x:c>
      <x:c r="D10" s="37" t="str">
        <x:v>Community app shell / social platform</x:v>
      </x:c>
      <x:c r="E10" s="37" t="str">
        <x:v>Direct Census comparison</x:v>
      </x:c>
      <x:c r="F10" s="45" t="str">
        <x:v>First Wave</x:v>
      </x:c>
      <x:c r="G10" s="37" t="str">
        <x:v>V5.2 Core Energy #2; Master Priority #41</x:v>
      </x:c>
      <x:c r="H10" s="37" t="str">
        <x:v>ZAF-0227</x:v>
      </x:c>
      <x:c r="I10" s="37" t="str">
        <x:v>Primary ZAF social shell for profiles, portfolios, members, chat, feed, groups, loyalty, and zaf.radio.</x:v>
      </x:c>
      <x:c r="J10" s="37" t="str">
        <x:v>Member profile, directory, basic feed/groups, portfolio access, badge/role system, moderation, link/deep-link modules.</x:v>
      </x:c>
      <x:c r="K10" s="37" t="str">
        <x:v>Launch as one coherent community surface; defer a fully custom social graph and complex native-only features.</x:v>
      </x:c>
      <x:c r="L10" s="37" t="str">
        <x:v>Realtime chat, richer media, commerce, false-bottom worlds, embedded module federation.</x:v>
      </x:c>
      <x:c r="M10" s="37" t="str">
        <x:v>Retention and discovery into paid products/services.</x:v>
      </x:c>
      <x:c r="N10" s="37" t="str">
        <x:v>CORE</x:v>
      </x:c>
      <x:c r="O10" s="64" t="str">
        <x:v>Undecided</x:v>
      </x:c>
      <x:c r="P10" s="65" t="str"/>
    </x:row>
    <x:row r="11" ht="66" customHeight="1">
      <x:c r="A11" s="60" t="str">
        <x:v>DOS-005</x:v>
      </x:c>
      <x:c r="B11" s="37" t="str">
        <x:v>ZAF Friends &amp; Family</x:v>
      </x:c>
      <x:c r="C11" s="37" t="str">
        <x:v>ZAF ecosystem</x:v>
      </x:c>
      <x:c r="D11" s="37" t="str">
        <x:v>Embedded community PWA / tab</x:v>
      </x:c>
      <x:c r="E11" s="37" t="str">
        <x:v>Direct Census comparison</x:v>
      </x:c>
      <x:c r="F11" s="45" t="str">
        <x:v>First Wave</x:v>
      </x:c>
      <x:c r="G11" s="37" t="str">
        <x:v>V5.2 Core Energy #5; Master Priority #5</x:v>
      </x:c>
      <x:c r="H11" s="37" t="str">
        <x:v>VENTURE211:105</x:v>
      </x:c>
      <x:c r="I11" s="37" t="str">
        <x:v>Relationship and beta-tester layer: passports, stickers, jobs, activities, and engagement rewards.</x:v>
      </x:c>
      <x:c r="J11" s="37" t="str">
        <x:v>Passcode onboarding, secondary profile/passport, starter stickers, role/job directory, beta feedback loop.</x:v>
      </x:c>
      <x:c r="K11" s="37" t="str">
        <x:v>Use simple role-based pages and manual coordination before advanced reward automation.</x:v>
      </x:c>
      <x:c r="L11" s="37" t="str">
        <x:v>Community operations hub, loyalty automation, hidden experiences, task guidance.</x:v>
      </x:c>
      <x:c r="M11" s="37" t="str">
        <x:v>Retention, beta feedback, participation incentives.</x:v>
      </x:c>
      <x:c r="N11" s="37" t="str">
        <x:v>NEAR-READY</x:v>
      </x:c>
      <x:c r="O11" s="64" t="str">
        <x:v>Undecided</x:v>
      </x:c>
      <x:c r="P11" s="65" t="str"/>
    </x:row>
    <x:row r="12" ht="66" customHeight="1">
      <x:c r="A12" s="60" t="str">
        <x:v>DOS-006</x:v>
      </x:c>
      <x:c r="B12" s="37" t="str">
        <x:v>zaf.radio</x:v>
      </x:c>
      <x:c r="C12" s="37" t="str">
        <x:v>ZAF ecosystem</x:v>
      </x:c>
      <x:c r="D12" s="37" t="str">
        <x:v>Short-form media discovery module</x:v>
      </x:c>
      <x:c r="E12" s="37" t="str">
        <x:v>Direct Census comparison</x:v>
      </x:c>
      <x:c r="F12" s="45" t="str">
        <x:v>First Wave</x:v>
      </x:c>
      <x:c r="G12" s="37" t="str">
        <x:v>V5.2 Core Energy #21; Master Priority #45</x:v>
      </x:c>
      <x:c r="H12" s="37" t="str">
        <x:v>VENTURE211:106</x:v>
      </x:c>
      <x:c r="I12" s="37" t="str">
        <x:v>A reels-style home for performance discovery and KaraokeDokie outputs.</x:v>
      </x:c>
      <x:c r="J12" s="37" t="str">
        <x:v>Vertical feed, upload/ingest rules, first content model, basic discovery tags, reporting/moderation.</x:v>
      </x:c>
      <x:c r="K12" s="37" t="str">
        <x:v>Use external-hosted/video-link first; defer full hosted video/recommendation engine.</x:v>
      </x:c>
      <x:c r="L12" s="37" t="str">
        <x:v>Native upload pipeline, trends, creator analytics, chart integration, monetization.</x:v>
      </x:c>
      <x:c r="M12" s="37" t="str">
        <x:v>Attention, discovery, sponsorship, product funnel.</x:v>
      </x:c>
      <x:c r="N12" s="37" t="str">
        <x:v>CORE MODULE</x:v>
      </x:c>
      <x:c r="O12" s="64" t="str">
        <x:v>Undecided</x:v>
      </x:c>
      <x:c r="P12" s="65" t="str"/>
    </x:row>
    <x:row r="13" ht="66" customHeight="1">
      <x:c r="A13" s="60" t="str">
        <x:v>DOS-007</x:v>
      </x:c>
      <x:c r="B13" s="37" t="str">
        <x:v>ZAF Prestige</x:v>
      </x:c>
      <x:c r="C13" s="37" t="str">
        <x:v>ZAF ecosystem</x:v>
      </x:c>
      <x:c r="D13" s="37" t="str">
        <x:v>Recognition / identity / patronage system</x:v>
      </x:c>
      <x:c r="E13" s="37" t="str">
        <x:v>Direct Census comparison</x:v>
      </x:c>
      <x:c r="F13" s="45" t="str">
        <x:v>First Wave</x:v>
      </x:c>
      <x:c r="G13" s="37" t="str">
        <x:v>V5.2 Core Energy #9; Master Priority #46</x:v>
      </x:c>
      <x:c r="H13" s="37" t="str">
        <x:v>ZAF-0176</x:v>
      </x:c>
      <x:c r="I13" s="37" t="str">
        <x:v>Permanent identity, scarcity, honors, patronage, artifacts, and performer legacy.</x:v>
      </x:c>
      <x:c r="J13" s="37" t="str">
        <x:v>Recognition track, public honor profile, artifact/receipt template, eligibility rules, patronage landing path.</x:v>
      </x:c>
      <x:c r="K13" s="37" t="str">
        <x:v>Launch with curated/manual inductions and static public profiles before live scoring or complex collection systems.</x:v>
      </x:c>
      <x:c r="L13" s="37" t="str">
        <x:v>Artist Passport, patron houses, paid tiers, records, collectibles, the wider prestige universe.</x:v>
      </x:c>
      <x:c r="M13" s="37" t="str">
        <x:v>Inductions, tribute artifacts, patronage, prestige tiers.</x:v>
      </x:c>
      <x:c r="N13" s="37" t="str">
        <x:v>CORE</x:v>
      </x:c>
      <x:c r="O13" s="64" t="str">
        <x:v>Undecided</x:v>
      </x:c>
      <x:c r="P13" s="65" t="str"/>
    </x:row>
    <x:row r="14" ht="66" customHeight="1">
      <x:c r="A14" s="60" t="str">
        <x:v>DOS-008</x:v>
      </x:c>
      <x:c r="B14" s="37" t="str">
        <x:v>ZAF Duet Dare &amp; Collaboration</x:v>
      </x:c>
      <x:c r="C14" s="37" t="str">
        <x:v>ZAF ecosystem</x:v>
      </x:c>
      <x:c r="D14" s="37" t="str">
        <x:v>Challenge / collaboration PWA</x:v>
      </x:c>
      <x:c r="E14" s="37" t="str">
        <x:v>Direct Census comparison</x:v>
      </x:c>
      <x:c r="F14" s="45" t="str">
        <x:v>First Wave</x:v>
      </x:c>
      <x:c r="G14" s="37" t="str">
        <x:v>V5.2 Core Energy #20; Master Priority #50</x:v>
      </x:c>
      <x:c r="H14" s="37" t="str">
        <x:v>ZAF-0177</x:v>
      </x:c>
      <x:c r="I14" s="37" t="str">
        <x:v>Challenge, nomination, duet pairing, deadline, voting, recognition, and share loop.</x:v>
      </x:c>
      <x:c r="J14" s="37" t="str">
        <x:v>Challenge card, nominations, due dates, simple submission links, voting rules, outcome/recognition page.</x:v>
      </x:c>
      <x:c r="K14" s="37" t="str">
        <x:v>Run MVP with manual moderation and external performance links; defer internal performance hosting.</x:v>
      </x:c>
      <x:c r="L14" s="37" t="str">
        <x:v>Duet randomizer, facilitator tools, harmony suggestions, linked rewards.</x:v>
      </x:c>
      <x:c r="M14" s="37" t="str">
        <x:v>Sponsored challenges / premium recognition / ecosystem funnel.</x:v>
      </x:c>
      <x:c r="N14" s="37" t="str">
        <x:v>STRONG</x:v>
      </x:c>
      <x:c r="O14" s="64" t="str">
        <x:v>Undecided</x:v>
      </x:c>
      <x:c r="P14" s="65" t="str"/>
    </x:row>
    <x:row r="15" ht="66" customHeight="1">
      <x:c r="A15" s="60" t="str">
        <x:v>DOS-009</x:v>
      </x:c>
      <x:c r="B15" s="37" t="str">
        <x:v>Karaoke Hall of Fame</x:v>
      </x:c>
      <x:c r="C15" s="37" t="str">
        <x:v>ZAF Prestige</x:v>
      </x:c>
      <x:c r="D15" s="37" t="str">
        <x:v>Recognition website / product</x:v>
      </x:c>
      <x:c r="E15" s="37" t="str">
        <x:v>Direct Census comparison</x:v>
      </x:c>
      <x:c r="F15" s="45" t="str">
        <x:v>First Wave</x:v>
      </x:c>
      <x:c r="G15" s="37" t="str">
        <x:v>V5.2 Core Energy #11; Master Priority #48</x:v>
      </x:c>
      <x:c r="H15" s="37" t="str">
        <x:v>ZAF-0208</x:v>
      </x:c>
      <x:c r="I15" s="37" t="str">
        <x:v>Permanent honors, portraits, history, inductions, tribute layers, and patronage.</x:v>
      </x:c>
      <x:c r="J15" s="37" t="str">
        <x:v>Public honoree profile template, induction package, governance/eligibility, nomination/contact path.</x:v>
      </x:c>
      <x:c r="K15" s="37" t="str">
        <x:v>Start as curated website and productized tribute service.</x:v>
      </x:c>
      <x:c r="L15" s="37" t="str">
        <x:v>Community voting, dynamic archive, patron tiers, Walk of Stars integration.</x:v>
      </x:c>
      <x:c r="M15" s="37" t="str">
        <x:v>Induction artifacts, portraits, patronage.</x:v>
      </x:c>
      <x:c r="N15" s="37" t="str">
        <x:v>STRONG</x:v>
      </x:c>
      <x:c r="O15" s="64" t="str">
        <x:v>Undecided</x:v>
      </x:c>
      <x:c r="P15" s="65" t="str"/>
    </x:row>
    <x:row r="16" ht="66" customHeight="1">
      <x:c r="A16" s="60" t="str">
        <x:v>DOS-010</x:v>
      </x:c>
      <x:c r="B16" s="37" t="str">
        <x:v>Karaoke Walk of Stars</x:v>
      </x:c>
      <x:c r="C16" s="37" t="str">
        <x:v>ZAF Prestige</x:v>
      </x:c>
      <x:c r="D16" s="37" t="str">
        <x:v>3D / interactive recognition experience</x:v>
      </x:c>
      <x:c r="E16" s="37" t="str">
        <x:v>Direct Census comparison</x:v>
      </x:c>
      <x:c r="F16" s="45" t="str">
        <x:v>First Wave</x:v>
      </x:c>
      <x:c r="G16" s="37" t="str">
        <x:v>V5.2 Core Energy #10; Master Priority #49</x:v>
      </x:c>
      <x:c r="H16" s="37" t="str">
        <x:v>VENTURE211:111</x:v>
      </x:c>
      <x:c r="I16" s="37" t="str">
        <x:v>Explorable stars, honorees, posters, cultural history, and later game mechanics.</x:v>
      </x:c>
      <x:c r="J16" s="37" t="str">
        <x:v>Experience map, honoree data model, visual direction, one small explorable route, public share page.</x:v>
      </x:c>
      <x:c r="K16" s="37" t="str">
        <x:v>Prototype as 2D/low-complexity web journey before true 3D game mechanics.</x:v>
      </x:c>
      <x:c r="L16" s="37" t="str">
        <x:v>Collecting, progression, immersive world, events, sponsorship.</x:v>
      </x:c>
      <x:c r="M16" s="37" t="str">
        <x:v>Sponsorship, prestige upgrades, traffic.</x:v>
      </x:c>
      <x:c r="N16" s="37" t="str">
        <x:v>STRONG</x:v>
      </x:c>
      <x:c r="O16" s="64" t="str">
        <x:v>Undecided</x:v>
      </x:c>
      <x:c r="P16" s="65" t="str"/>
    </x:row>
    <x:row r="17" ht="66" customHeight="1">
      <x:c r="A17" s="60" t="str">
        <x:v>DOS-011</x:v>
      </x:c>
      <x:c r="B17" s="37" t="str">
        <x:v>zaf.rocks Central Hub</x:v>
      </x:c>
      <x:c r="C17" s="37" t="str">
        <x:v>ZAF web / brand</x:v>
      </x:c>
      <x:c r="D17" s="37" t="str">
        <x:v>Public website, domain constellation &amp; institutional hub</x:v>
      </x:c>
      <x:c r="E17" s="37" t="str">
        <x:v>Direct Census comparison</x:v>
      </x:c>
      <x:c r="F17" s="45" t="str">
        <x:v>First Wave</x:v>
      </x:c>
      <x:c r="G17" s="37" t="str">
        <x:v>V5.2 Core Energy #3</x:v>
      </x:c>
      <x:c r="H17" s="37" t="str">
        <x:v>ZAF-0306</x:v>
      </x:c>
      <x:c r="I17" s="37" t="str">
        <x:v>Public ZAF namespace, credibility surface, SEO front door, routing layer, and product directory.</x:v>
      </x:c>
      <x:c r="J17" s="37" t="str">
        <x:v>Homepage, product landing routes, domain/subdomain architecture, CMS, navigation, basic analytics, lead/CTA paths.</x:v>
      </x:c>
      <x:c r="K17" s="37" t="str">
        <x:v>Start with the institutional site and top-product landing pages; defer a giant portal.</x:v>
      </x:c>
      <x:c r="L17" s="37" t="str">
        <x:v>Artist domains, prestige destinations, commerce, public archives.</x:v>
      </x:c>
      <x:c r="M17" s="37" t="str">
        <x:v>Lead generation, product routing, sponsors, credibility.</x:v>
      </x:c>
      <x:c r="N17" s="37" t="str">
        <x:v>CORE</x:v>
      </x:c>
      <x:c r="O17" s="64" t="str">
        <x:v>Undecided</x:v>
      </x:c>
      <x:c r="P17" s="65" t="str"/>
    </x:row>
    <x:row r="18" ht="66" customHeight="1">
      <x:c r="A18" s="60" t="str">
        <x:v>DOS-012</x:v>
      </x:c>
      <x:c r="B18" s="37" t="str">
        <x:v>Artist Portfolio Initiative</x:v>
      </x:c>
      <x:c r="C18" s="37" t="str">
        <x:v>ZAF services</x:v>
      </x:c>
      <x:c r="D18" s="37" t="str">
        <x:v>Portfolio website system / productized service</x:v>
      </x:c>
      <x:c r="E18" s="37" t="str">
        <x:v>Direct Census comparison</x:v>
      </x:c>
      <x:c r="F18" s="45" t="str">
        <x:v>First Wave</x:v>
      </x:c>
      <x:c r="G18" s="37" t="str">
        <x:v>V5.2 Core Energy #15</x:v>
      </x:c>
      <x:c r="H18" s="37" t="str">
        <x:v>ZAF-0283</x:v>
      </x:c>
      <x:c r="I18" s="37" t="str">
        <x:v>Sell artist portfolios before building a huge portfolio platform.</x:v>
      </x:c>
      <x:c r="J18" s="37" t="str">
        <x:v>2–3 package tiers, intake workflow, reusable site template, example portfolio, inquiry/checkout route.</x:v>
      </x:c>
      <x:c r="K18" s="37" t="str">
        <x:v>Deliver manually with templates; defer self-serve creator portal.</x:v>
      </x:c>
      <x:c r="L18" s="37" t="str">
        <x:v>Portfolio marketplace, Artist Passport, domains, label portal integration.</x:v>
      </x:c>
      <x:c r="M18" s="37" t="str">
        <x:v>Portfolio packages / upgrades / domains.</x:v>
      </x:c>
      <x:c r="N18" s="37" t="str">
        <x:v>SELLABLE</x:v>
      </x:c>
      <x:c r="O18" s="64" t="str">
        <x:v>Undecided</x:v>
      </x:c>
      <x:c r="P18" s="65" t="str"/>
    </x:row>
    <x:row r="19" ht="66" customHeight="1">
      <x:c r="A19" s="60" t="str">
        <x:v>DOS-013</x:v>
      </x:c>
      <x:c r="B19" s="37" t="str">
        <x:v>ZAF Production, Label &amp; Talent Portals</x:v>
      </x:c>
      <x:c r="C19" s="37" t="str">
        <x:v>ZAF services</x:v>
      </x:c>
      <x:c r="D19" s="37" t="str">
        <x:v>Website/portal family</x:v>
      </x:c>
      <x:c r="E19" s="37" t="str">
        <x:v>Direct Census comparison</x:v>
      </x:c>
      <x:c r="F19" s="45" t="str">
        <x:v>First Wave</x:v>
      </x:c>
      <x:c r="G19" s="37" t="str">
        <x:v>V5.2 Core Energy #15; source portal concepts</x:v>
      </x:c>
      <x:c r="H19" s="37" t="str">
        <x:v>ZAF-0290</x:v>
      </x:c>
      <x:c r="I19" s="37" t="str">
        <x:v>Professional pathways for production offers, label access, talent scouting, and promotion services.</x:v>
      </x:c>
      <x:c r="J19" s="37" t="str">
        <x:v>Service pages, offer tiers, intake/lead form, booking/contact, portfolio proof, simple CRM handoff.</x:v>
      </x:c>
      <x:c r="K19" s="37" t="str">
        <x:v>Launch one combined portal first; split specialist portals only when demand proves it.</x:v>
      </x:c>
      <x:c r="L19" s="37" t="str">
        <x:v>Talent Scout Agency, Promotion Services, label ladders, artist domains.</x:v>
      </x:c>
      <x:c r="M19" s="37" t="str">
        <x:v>Production services, artist development, lead flow.</x:v>
      </x:c>
      <x:c r="N19" s="37" t="str">
        <x:v>SELLABLE</x:v>
      </x:c>
      <x:c r="O19" s="64" t="str">
        <x:v>Undecided</x:v>
      </x:c>
      <x:c r="P19" s="65" t="str"/>
    </x:row>
    <x:row r="20" ht="66" customHeight="1">
      <x:c r="A20" s="60" t="str">
        <x:v>DOS-014</x:v>
      </x:c>
      <x:c r="B20" s="37" t="str">
        <x:v>Zaffie</x:v>
      </x:c>
      <x:c r="C20" s="37" t="str">
        <x:v>ZAF shared experience</x:v>
      </x:c>
      <x:c r="D20" s="37" t="str">
        <x:v>Shared AI guide / character service</x:v>
      </x:c>
      <x:c r="E20" s="37" t="str">
        <x:v>Direct Census comparison</x:v>
      </x:c>
      <x:c r="F20" s="45" t="str">
        <x:v>First Wave</x:v>
      </x:c>
      <x:c r="G20" s="37" t="str">
        <x:v>V5.2 Core Energy #19</x:v>
      </x:c>
      <x:c r="H20" s="37" t="str">
        <x:v>ZAF-0261</x:v>
      </x:c>
      <x:c r="I20" s="37" t="str">
        <x:v>The ZAF guide, onboarding host, operating personality, and cross-product messenger.</x:v>
      </x:c>
      <x:c r="J20" s="37" t="str">
        <x:v>Voice/personality rules, onboarding scripts, first guided flows, handoff boundaries, safe visible UI.</x:v>
      </x:c>
      <x:c r="K20" s="37" t="str">
        <x:v>Start as scripted/contextual guide; defer deep memory and autonomous agent behavior.</x:v>
      </x:c>
      <x:c r="L20" s="37" t="str">
        <x:v>Voice cloning, memory, product-aware help, hidden-world guide.</x:v>
      </x:c>
      <x:c r="M20" s="37" t="str">
        <x:v>Product guidance, premium concierge, brand differentiation.</x:v>
      </x:c>
      <x:c r="N20" s="37" t="str">
        <x:v>CORE ASSET</x:v>
      </x:c>
      <x:c r="O20" s="64" t="str">
        <x:v>Undecided</x:v>
      </x:c>
      <x:c r="P20" s="65" t="str"/>
    </x:row>
    <x:row r="21" ht="66" customHeight="1">
      <x:c r="A21" s="60" t="str">
        <x:v>DOS-015</x:v>
      </x:c>
      <x:c r="B21" s="37" t="str">
        <x:v>ZAF Identity StudioZ / Unicode Universe</x:v>
      </x:c>
      <x:c r="C21" s="37" t="str">
        <x:v>ZAF shared engines</x:v>
      </x:c>
      <x:c r="D21" s="37" t="str">
        <x:v>Identity-generation PWA</x:v>
      </x:c>
      <x:c r="E21" s="37" t="str">
        <x:v>Direct Census comparison</x:v>
      </x:c>
      <x:c r="F21" s="45" t="str">
        <x:v>First Wave</x:v>
      </x:c>
      <x:c r="G21" s="37" t="str">
        <x:v>V5.2 Core Energy #12; Master Priority #6</x:v>
      </x:c>
      <x:c r="H21" s="37" t="str">
        <x:v>ZAF-0308</x:v>
      </x:c>
      <x:c r="I21" s="37" t="str">
        <x:v>Unicode identity, stage-name, glyph, style, copy, favorites, and compatibility engine.</x:v>
      </x:c>
      <x:c r="J21" s="37" t="str">
        <x:v>Input, deterministic style maps, creative variations, copy/plain-text fallback, saved favorites, accessibility/searchability checks.</x:v>
      </x:c>
      <x:c r="K21" s="37" t="str">
        <x:v>Use deterministic maps plus lightweight AI; defer marketplace/social layer.</x:v>
      </x:c>
      <x:c r="L21" s="37" t="str">
        <x:v>TaxOGen, identity kits, ZAF profile integration, marketplace.</x:v>
      </x:c>
      <x:c r="M21" s="37" t="str">
        <x:v>Freemium identity kits / creator services.</x:v>
      </x:c>
      <x:c r="N21" s="37" t="str">
        <x:v>PROTOTYPE READY</x:v>
      </x:c>
      <x:c r="O21" s="64" t="str">
        <x:v>Undecided</x:v>
      </x:c>
      <x:c r="P21" s="65" t="str"/>
    </x:row>
    <x:row r="22" ht="66" customHeight="1">
      <x:c r="A22" s="60" t="str">
        <x:v>DOS-016</x:v>
      </x:c>
      <x:c r="B22" s="37" t="str">
        <x:v>TaxOGen</x:v>
      </x:c>
      <x:c r="C22" s="37" t="str">
        <x:v>ZAF shared engines</x:v>
      </x:c>
      <x:c r="D22" s="37" t="str">
        <x:v>Taxonomy-driven generator / visual engine</x:v>
      </x:c>
      <x:c r="E22" s="37" t="str">
        <x:v>Direct Census comparison</x:v>
      </x:c>
      <x:c r="F22" s="45" t="str">
        <x:v>Fast Prototype</x:v>
      </x:c>
      <x:c r="G22" s="37" t="str">
        <x:v>Source: TaxOGen concepts; V5 PWA landscape</x:v>
      </x:c>
      <x:c r="H22" s="37" t="str">
        <x:v>ZAF-0327</x:v>
      </x:c>
      <x:c r="I22" s="37" t="str">
        <x:v>A weighted taxonomy generator that permits variation according to importance, including visual batches.</x:v>
      </x:c>
      <x:c r="J22" s="37" t="str">
        <x:v>Define input taxonomy, strictness weights, generation outputs, batch preview, save/export.</x:v>
      </x:c>
      <x:c r="K22" s="37" t="str">
        <x:v>Start with one narrow generation domain and controlled output batch.</x:v>
      </x:c>
      <x:c r="L22" s="37" t="str">
        <x:v>Shared taste profile, visual/story systems, creator marketplace.</x:v>
      </x:c>
      <x:c r="M22" s="37" t="str">
        <x:v>Premium generation packs / licensing.</x:v>
      </x:c>
      <x:c r="N22" s="37" t="str">
        <x:v>ACTIVE EXPLORATION</x:v>
      </x:c>
      <x:c r="O22" s="64" t="str">
        <x:v>Undecided</x:v>
      </x:c>
      <x:c r="P22" s="65" t="str"/>
    </x:row>
    <x:row r="23" ht="66" customHeight="1">
      <x:c r="A23" s="60" t="str">
        <x:v>DOS-017</x:v>
      </x:c>
      <x:c r="B23" s="37" t="str">
        <x:v>Noteworthy / Who GiveZAFuck</x:v>
      </x:c>
      <x:c r="C23" s="37" t="str">
        <x:v>Personal productivity</x:v>
      </x:c>
      <x:c r="D23" s="37" t="str">
        <x:v>PWA-first visual task and drafting workspace</x:v>
      </x:c>
      <x:c r="E23" s="37" t="str">
        <x:v>Direct Census comparison</x:v>
      </x:c>
      <x:c r="F23" s="45" t="str">
        <x:v>First Wave</x:v>
      </x:c>
      <x:c r="G23" s="37" t="str">
        <x:v>V5.2 Core Energy #8</x:v>
      </x:c>
      <x:c r="H23" s="37" t="str">
        <x:v>CURRENT:NOTEWORTHY</x:v>
      </x:c>
      <x:c r="I23" s="37" t="str">
        <x:v>Persistent drafting, project cards, autosave, recall, reminders, shortcuts, and send-to routes.</x:v>
      </x:c>
      <x:c r="J23" s="37" t="str">
        <x:v>Central text box, autosave, recent/favorites, categories, basic search, copy/send/share flow.</x:v>
      </x:c>
      <x:c r="K23" s="37" t="str">
        <x:v>Defer native keyboard, full spatial cockpit, and advanced AI memory.</x:v>
      </x:c>
      <x:c r="L23" s="37" t="str">
        <x:v>Configurable visual cockpit, calendar/reminders, attachments, AI routing, orbital/space interfaces.</x:v>
      </x:c>
      <x:c r="M23" s="37" t="str">
        <x:v>Subscription / internal proof before public version.</x:v>
      </x:c>
      <x:c r="N23" s="37" t="str">
        <x:v>NEAR-READY</x:v>
      </x:c>
      <x:c r="O23" s="64" t="str">
        <x:v>Undecided</x:v>
      </x:c>
      <x:c r="P23" s="65" t="str"/>
    </x:row>
    <x:row r="24" ht="66" customHeight="1">
      <x:c r="A24" s="60" t="str">
        <x:v>DOS-018</x:v>
      </x:c>
      <x:c r="B24" s="37" t="str">
        <x:v>Prompt Vault / PromptOS / PromptForge</x:v>
      </x:c>
      <x:c r="C24" s="37" t="str">
        <x:v>AI products</x:v>
      </x:c>
      <x:c r="D24" s="37" t="str">
        <x:v>Prompt repository PWA</x:v>
      </x:c>
      <x:c r="E24" s="37" t="str">
        <x:v>Direct Census comparison</x:v>
      </x:c>
      <x:c r="F24" s="45" t="str">
        <x:v>Fast Prototype</x:v>
      </x:c>
      <x:c r="G24" s="37" t="str">
        <x:v>Master Priority #10</x:v>
      </x:c>
      <x:c r="H24" s="37" t="str">
        <x:v>ZAF-0361</x:v>
      </x:c>
      <x:c r="I24" s="37" t="str">
        <x:v>Create, store, categorize, version, compare, adapt, and reuse prompts across AI platforms.</x:v>
      </x:c>
      <x:c r="J24" s="37" t="str">
        <x:v>Prompt records, folders/tags, versions, compare view, copy/export, basic project linkage.</x:v>
      </x:c>
      <x:c r="K24" s="37" t="str">
        <x:v>Start personal/single-user; defer marketplace and real-time teams.</x:v>
      </x:c>
      <x:c r="L24" s="37" t="str">
        <x:v>Lovable handoff, prompt IDE, public assets, creator profiles.</x:v>
      </x:c>
      <x:c r="M24" s="37" t="str">
        <x:v>Freemium / prompt packs / professional tiers.</x:v>
      </x:c>
      <x:c r="N24" s="37" t="str">
        <x:v>ACTIVE EXPLORATION</x:v>
      </x:c>
      <x:c r="O24" s="64" t="str">
        <x:v>Undecided</x:v>
      </x:c>
      <x:c r="P24" s="65" t="str"/>
    </x:row>
    <x:row r="25" ht="66" customHeight="1">
      <x:c r="A25" s="60" t="str">
        <x:v>DOS-019</x:v>
      </x:c>
      <x:c r="B25" s="37" t="str">
        <x:v>AI Source-Material Repository</x:v>
      </x:c>
      <x:c r="C25" s="37" t="str">
        <x:v>AI products</x:v>
      </x:c>
      <x:c r="D25" s="37" t="str">
        <x:v>Source-packet repository / marketplace</x:v>
      </x:c>
      <x:c r="E25" s="37" t="str">
        <x:v>Direct Census comparison</x:v>
      </x:c>
      <x:c r="F25" s="45" t="str">
        <x:v>Expansion</x:v>
      </x:c>
      <x:c r="G25" s="37" t="str">
        <x:v>Source: AI Source Material Repository / creator rankings</x:v>
      </x:c>
      <x:c r="H25" s="37" t="str">
        <x:v>ZAF-0372</x:v>
      </x:c>
      <x:c r="I25" s="37" t="str">
        <x:v>Repository for source packets, prompts, workflows, context packs, examples, and reusable AI-building material.</x:v>
      </x:c>
      <x:c r="J25" s="37" t="str">
        <x:v>Public/site taxonomy, asset pages, upload/intake, search, source/rights fields, creator/contact path.</x:v>
      </x:c>
      <x:c r="K25" s="37" t="str">
        <x:v>Start curated and manual; defer open marketplace contribution/reviews.</x:v>
      </x:c>
      <x:c r="L25" s="37" t="str">
        <x:v>Creator profiles, verification, rankings, installs, paid assets.</x:v>
      </x:c>
      <x:c r="M25" s="37" t="str">
        <x:v>Digital asset sales / memberships / marketplace fees.</x:v>
      </x:c>
      <x:c r="N25" s="37" t="str">
        <x:v>ACTIVE EXPLORATION</x:v>
      </x:c>
      <x:c r="O25" s="64" t="str">
        <x:v>Undecided</x:v>
      </x:c>
      <x:c r="P25" s="65" t="str"/>
    </x:row>
    <x:row r="26" ht="66" customHeight="1">
      <x:c r="A26" s="60" t="str">
        <x:v>DOS-020</x:v>
      </x:c>
      <x:c r="B26" s="37" t="str">
        <x:v>Census + Dossier Builder Advisor / Public Selector</x:v>
      </x:c>
      <x:c r="C26" s="37" t="str">
        <x:v>AI products</x:v>
      </x:c>
      <x:c r="D26" s="37" t="str">
        <x:v>Platform-selection decision app</x:v>
      </x:c>
      <x:c r="E26" s="37" t="str">
        <x:v>Direct Census comparison</x:v>
      </x:c>
      <x:c r="F26" s="45" t="str">
        <x:v>First Wave</x:v>
      </x:c>
      <x:c r="G26" s="37" t="str">
        <x:v>V5.2 Core Energy #6; Census V6.1 packet</x:v>
      </x:c>
      <x:c r="H26" s="37" t="str">
        <x:v>ZAF-0377</x:v>
      </x:c>
      <x:c r="I26" s="37" t="str">
        <x:v>Future public tool that routes a founder’s project requirements through the Census fractal sieve.</x:v>
      </x:c>
      <x:c r="J26" s="37" t="str">
        <x:v>Project brief, requirement profile, strict/flexible routes, platform eligibility, rationale, manual result review.</x:v>
      </x:c>
      <x:c r="K26" s="37" t="str">
        <x:v>Use the personal spreadsheet engine first; defer public accounts, sponsorship, and automated research.</x:v>
      </x:c>
      <x:c r="L26" s="37" t="str">
        <x:v>Public founder selector, personalized AI interview, paid reports, sponsor-safe eligibility.</x:v>
      </x:c>
      <x:c r="M26" s="37" t="str">
        <x:v>Advisor reports / premium routes / future SaaS.</x:v>
      </x:c>
      <x:c r="N26" s="37" t="str">
        <x:v>NEAR-READY</x:v>
      </x:c>
      <x:c r="O26" s="64" t="str">
        <x:v>Undecided</x:v>
      </x:c>
      <x:c r="P26" s="65" t="str"/>
    </x:row>
    <x:row r="27" ht="66" customHeight="1">
      <x:c r="A27" s="60" t="str">
        <x:v>DOS-021</x:v>
      </x:c>
      <x:c r="B27" s="37" t="str">
        <x:v>AI Supplement</x:v>
      </x:c>
      <x:c r="C27" s="37" t="str">
        <x:v>AI products</x:v>
      </x:c>
      <x:c r="D27" s="37" t="str">
        <x:v>Companion app / learning layer</x:v>
      </x:c>
      <x:c r="E27" s="37" t="str">
        <x:v>Direct Census comparison</x:v>
      </x:c>
      <x:c r="F27" s="45" t="str">
        <x:v>Expansion</x:v>
      </x:c>
      <x:c r="G27" s="37" t="str">
        <x:v>Source: AI Supplement concept</x:v>
      </x:c>
      <x:c r="H27" s="37" t="str">
        <x:v>ZAF-0347</x:v>
      </x:c>
      <x:c r="I27" s="37" t="str">
        <x:v>Explains AI platforms, settings, tools, stacks, prompts, and workflows beside the user’s primary AI app.</x:v>
      </x:c>
      <x:c r="J27" s="37" t="str">
        <x:v>Curated tool cards, explainers, comparison pages, saved stack, quick prompts, mobile companion surface.</x:v>
      </x:c>
      <x:c r="K27" s="37" t="str">
        <x:v>Start as a searchable guide; defer deep agent integration.</x:v>
      </x:c>
      <x:c r="L27" s="37" t="str">
        <x:v>Split-screen overlay tools, personalized routing, learning paths.</x:v>
      </x:c>
      <x:c r="M27" s="37" t="str">
        <x:v>Affiliate/referral, premium guidance.</x:v>
      </x:c>
      <x:c r="N27" s="37" t="str">
        <x:v>ACTIVE EXPLORATION</x:v>
      </x:c>
      <x:c r="O27" s="64" t="str">
        <x:v>Undecided</x:v>
      </x:c>
      <x:c r="P27" s="65" t="str"/>
    </x:row>
    <x:row r="28" ht="66" customHeight="1">
      <x:c r="A28" s="60" t="str">
        <x:v>DOS-022</x:v>
      </x:c>
      <x:c r="B28" s="37" t="str">
        <x:v>Personal AI Partner / SelfOS</x:v>
      </x:c>
      <x:c r="C28" s="37" t="str">
        <x:v>AI products</x:v>
      </x:c>
      <x:c r="D28" s="37" t="str">
        <x:v>Personalized AI companion</x:v>
      </x:c>
      <x:c r="E28" s="37" t="str">
        <x:v>Direct Census comparison</x:v>
      </x:c>
      <x:c r="F28" s="45" t="str">
        <x:v>Long-Horizon</x:v>
      </x:c>
      <x:c r="G28" s="37" t="str">
        <x:v>Source: MirrorMind / SelfOS concepts</x:v>
      </x:c>
      <x:c r="H28" s="37" t="str">
        <x:v>ZAF-0354</x:v>
      </x:c>
      <x:c r="I28" s="37" t="str">
        <x:v>Deep thinking partner built through interviews, memory, casual conversation, and self-discovery.</x:v>
      </x:c>
      <x:c r="J28" s="37" t="str">
        <x:v>Private interview intake, consented memory model, reflective chat, user-controlled export/delete, grounded advice boundaries.</x:v>
      </x:c>
      <x:c r="K28" s="37" t="str">
        <x:v>Start with a scoped journal/interview companion; defer autonomous agent and broad life OS.</x:v>
      </x:c>
      <x:c r="L28" s="37" t="str">
        <x:v>Cross-app memory, voice, agent workflows, personal operating system.</x:v>
      </x:c>
      <x:c r="M28" s="37" t="str">
        <x:v>Subscription / private premium companion.</x:v>
      </x:c>
      <x:c r="N28" s="37" t="str">
        <x:v>ACTIVE EXPLORATION</x:v>
      </x:c>
      <x:c r="O28" s="64" t="str">
        <x:v>Undecided</x:v>
      </x:c>
      <x:c r="P28" s="65" t="str"/>
    </x:row>
    <x:row r="29" ht="66" customHeight="1">
      <x:c r="A29" s="60" t="str">
        <x:v>DOS-023</x:v>
      </x:c>
      <x:c r="B29" s="37" t="str">
        <x:v>Teaching AI + Cell Phones / AI Schoolhouse</x:v>
      </x:c>
      <x:c r="C29" s="37" t="str">
        <x:v>Education service</x:v>
      </x:c>
      <x:c r="D29" s="37" t="str">
        <x:v>Service-first education site and program</x:v>
      </x:c>
      <x:c r="E29" s="37" t="str">
        <x:v>Direct Census comparison</x:v>
      </x:c>
      <x:c r="F29" s="45" t="str">
        <x:v>First Wave</x:v>
      </x:c>
      <x:c r="G29" s="37" t="str">
        <x:v>V5.2 Core Energy #7; Master Priority #2</x:v>
      </x:c>
      <x:c r="H29" s="37" t="str">
        <x:v>ZAF-0339</x:v>
      </x:c>
      <x:c r="I29" s="37" t="str">
        <x:v>Practical AI and smartphone education for overwhelmed people, older adults, and business owners.</x:v>
      </x:c>
      <x:c r="J29" s="37" t="str">
        <x:v>Offer/pricing, booking/contact, first curriculum, testimonials/resources, local outreach landing pages.</x:v>
      </x:c>
      <x:c r="K29" s="37" t="str">
        <x:v>Sell human services first; defer a full learning platform.</x:v>
      </x:c>
      <x:c r="L29" s="37" t="str">
        <x:v>Certification, franchise, mobile units, online courses, resource membership.</x:v>
      </x:c>
      <x:c r="M29" s="37" t="str">
        <x:v>Lessons, workshops, consulting, course sales.</x:v>
      </x:c>
      <x:c r="N29" s="37" t="str">
        <x:v>SELLABLE</x:v>
      </x:c>
      <x:c r="O29" s="64" t="str">
        <x:v>Undecided</x:v>
      </x:c>
      <x:c r="P29" s="65" t="str"/>
    </x:row>
    <x:row r="30" ht="66" customHeight="1">
      <x:c r="A30" s="60" t="str">
        <x:v>DOS-024</x:v>
      </x:c>
      <x:c r="B30" s="37" t="str">
        <x:v>The Literalizer / Bullshit X-Ray</x:v>
      </x:c>
      <x:c r="C30" s="37" t="str">
        <x:v>Standalone AI products</x:v>
      </x:c>
      <x:c r="D30" s="37" t="str">
        <x:v>Plain-language translation &amp; communication intelligence PWA</x:v>
      </x:c>
      <x:c r="E30" s="37" t="str">
        <x:v>Direct Census comparison</x:v>
      </x:c>
      <x:c r="F30" s="45" t="str">
        <x:v>First Wave</x:v>
      </x:c>
      <x:c r="G30" s="37" t="str">
        <x:v>V5.2 Core Energy #13; Master Priority #4</x:v>
      </x:c>
      <x:c r="H30" s="37" t="str">
        <x:v>ZAF-0433</x:v>
      </x:c>
      <x:c r="I30" s="37" t="str">
        <x:v>Translate dense jargon or messages into literal meaning, intent, risks, and reply options.</x:v>
      </x:c>
      <x:c r="J30" s="37" t="str">
        <x:v>Paste input, structured output, copy/share, plain-language explanation, risk/ambiguity flags, lightweight persistence.</x:v>
      </x:c>
      <x:c r="K30" s="37" t="str">
        <x:v>Start with text; defer screenshots, APIs, specialized industry editions, and characters.</x:v>
      </x:c>
      <x:c r="L30" s="37" t="str">
        <x:v>Literalizer editions, widgets/API, Lee Gull &amp; Otis M entertainment layer.</x:v>
      </x:c>
      <x:c r="M30" s="37" t="str">
        <x:v>Freemium, API/widget licensing, white-label.</x:v>
      </x:c>
      <x:c r="N30" s="37" t="str">
        <x:v>PROTOTYPE READY</x:v>
      </x:c>
      <x:c r="O30" s="64" t="str">
        <x:v>Undecided</x:v>
      </x:c>
      <x:c r="P30" s="65" t="str"/>
    </x:row>
    <x:row r="31" ht="66" customHeight="1">
      <x:c r="A31" s="60" t="str">
        <x:v>DOS-025</x:v>
      </x:c>
      <x:c r="B31" s="37" t="str">
        <x:v>Community Outreach Platform</x:v>
      </x:c>
      <x:c r="C31" s="37" t="str">
        <x:v>Social-impact</x:v>
      </x:c>
      <x:c r="D31" s="37" t="str">
        <x:v>Civic resource-coordination PWA</x:v>
      </x:c>
      <x:c r="E31" s="37" t="str">
        <x:v>Direct Census comparison</x:v>
      </x:c>
      <x:c r="F31" s="45" t="str">
        <x:v>First Wave</x:v>
      </x:c>
      <x:c r="G31" s="37" t="str">
        <x:v>V5.2 Core Energy #23</x:v>
      </x:c>
      <x:c r="H31" s="37" t="str">
        <x:v>ZAF-0441</x:v>
      </x:c>
      <x:c r="I31" s="37" t="str">
        <x:v>Profiles, needs, benefits, jobs, resources, scheduling, reminders, progress, encouragement, and support coordination.</x:v>
      </x:c>
      <x:c r="J31" s="37" t="str">
        <x:v>Narrow Atlantic City pilot: essential user profiles, resource directory, needs/action plan, consent/privacy, basic reminders.</x:v>
      </x:c>
      <x:c r="K31" s="37" t="str">
        <x:v>Start practitioner/admin guided with non-sensitive data; defer location/emergency and broad AI advocacy.</x:v>
      </x:c>
      <x:c r="L31" s="37" t="str">
        <x:v>Family/emergency layer, optional location, advocacy agent, multi-agency coordination.</x:v>
      </x:c>
      <x:c r="M31" s="37" t="str">
        <x:v>Grants, partners, service contracts.</x:v>
      </x:c>
      <x:c r="N31" s="37" t="str">
        <x:v>STRONG</x:v>
      </x:c>
      <x:c r="O31" s="64" t="str">
        <x:v>Undecided</x:v>
      </x:c>
      <x:c r="P31" s="65" t="str"/>
    </x:row>
    <x:row r="32" ht="66" customHeight="1">
      <x:c r="A32" s="60" t="str">
        <x:v>DOS-026</x:v>
      </x:c>
      <x:c r="B32" s="37" t="str">
        <x:v>Wedding Disposable Camera</x:v>
      </x:c>
      <x:c r="C32" s="37" t="str">
        <x:v>Event product</x:v>
      </x:c>
      <x:c r="D32" s="37" t="str">
        <x:v>Shared event-photo PWA</x:v>
      </x:c>
      <x:c r="E32" s="37" t="str">
        <x:v>Direct Census comparison</x:v>
      </x:c>
      <x:c r="F32" s="45" t="str">
        <x:v>First Wave</x:v>
      </x:c>
      <x:c r="G32" s="37" t="str">
        <x:v>V5.2 Core Energy #24</x:v>
      </x:c>
      <x:c r="H32" s="37" t="str">
        <x:v>ZAF-0457</x:v>
      </x:c>
      <x:c r="I32" s="37" t="str">
        <x:v>Event-code photo capture and shared album with delayed reveal.</x:v>
      </x:c>
      <x:c r="J32" s="37" t="str">
        <x:v>Event page/code, mobile photo intake, album lifecycle, reveal date, paid event checkout, theme.</x:v>
      </x:c>
      <x:c r="K32" s="37" t="str">
        <x:v>No-account event route and basic photo storage; defer AI editing/social network.</x:v>
      </x:c>
      <x:c r="L32" s="37" t="str">
        <x:v>Frames, AI album story, prints, vendor integrations.</x:v>
      </x:c>
      <x:c r="M32" s="37" t="str">
        <x:v>Per-event packages / print upgrades.</x:v>
      </x:c>
      <x:c r="N32" s="37" t="str">
        <x:v>CLEAN MVP</x:v>
      </x:c>
      <x:c r="O32" s="64" t="str">
        <x:v>Undecided</x:v>
      </x:c>
      <x:c r="P32" s="65" t="str"/>
    </x:row>
    <x:row r="33" ht="66" customHeight="1">
      <x:c r="A33" s="60" t="str">
        <x:v>DOS-027</x:v>
      </x:c>
      <x:c r="B33" s="37" t="str">
        <x:v>Amateur AI Cinema &amp; Film Festival</x:v>
      </x:c>
      <x:c r="C33" s="37" t="str">
        <x:v>Media venture</x:v>
      </x:c>
      <x:c r="D33" s="37" t="str">
        <x:v>Creator platform + festival service</x:v>
      </x:c>
      <x:c r="E33" s="37" t="str">
        <x:v>Direct Census comparison</x:v>
      </x:c>
      <x:c r="F33" s="45" t="str">
        <x:v>Expansion</x:v>
      </x:c>
      <x:c r="G33" s="37" t="str">
        <x:v>Source: Amateur AI Cinema / Film Festival</x:v>
      </x:c>
      <x:c r="H33" s="37" t="str">
        <x:v>ZAF-0447 / ZAF-0448</x:v>
      </x:c>
      <x:c r="I33" s="37" t="str">
        <x:v>A venue for amateur AI film work, submissions, discovery, festival programming, and recognition.</x:v>
      </x:c>
      <x:c r="J33" s="37" t="str">
        <x:v>Public site, submission rules, creator pages, screening schedule, simple upload/link handling, jury workflow.</x:v>
      </x:c>
      <x:c r="K33" s="37" t="str">
        <x:v>Launch festival/service and curated showcase before a full creator platform.</x:v>
      </x:c>
      <x:c r="L33" s="37" t="str">
        <x:v>Creator community, paid submissions, awards, streaming, marketplace.</x:v>
      </x:c>
      <x:c r="M33" s="37" t="str">
        <x:v>Submissions, tickets, sponsors, memberships.</x:v>
      </x:c>
      <x:c r="N33" s="37" t="str">
        <x:v>ACTIVE EXPLORATION</x:v>
      </x:c>
      <x:c r="O33" s="64" t="str">
        <x:v>Undecided</x:v>
      </x:c>
      <x:c r="P33" s="65" t="str"/>
    </x:row>
    <x:row r="34" ht="66" customHeight="1">
      <x:c r="A34" s="60" t="str">
        <x:v>DOS-028</x:v>
      </x:c>
      <x:c r="B34" s="37" t="str">
        <x:v>UFO / UAP Reporting Platform</x:v>
      </x:c>
      <x:c r="C34" s="37" t="str">
        <x:v>Standalone venture</x:v>
      </x:c>
      <x:c r="D34" s="37" t="str">
        <x:v>Public reporting and evidence platform</x:v>
      </x:c>
      <x:c r="E34" s="37" t="str">
        <x:v>Direct Census comparison</x:v>
      </x:c>
      <x:c r="F34" s="45" t="str">
        <x:v>Needs Definition</x:v>
      </x:c>
      <x:c r="G34" s="37" t="str">
        <x:v>Source: UFO/UAP reporting concept</x:v>
      </x:c>
      <x:c r="H34" s="37" t="str">
        <x:v>ZAF-0452</x:v>
      </x:c>
      <x:c r="I34" s="37" t="str">
        <x:v>Structured reporting, evidence capture, mapping, and public/research presentation.</x:v>
      </x:c>
      <x:c r="J34" s="37" t="str">
        <x:v>Define safety/privacy rules, report form, evidence policy, public versus private display, basic map/list.</x:v>
      </x:c>
      <x:c r="K34" s="37" t="str">
        <x:v>Start with informational/reporting site; defer validation claims and community moderation complexity.</x:v>
      </x:c>
      <x:c r="L34" s="37" t="str">
        <x:v>AI evidence classification, geospatial correlation, community investigation.</x:v>
      </x:c>
      <x:c r="M34" s="37" t="str">
        <x:v>Memberships, research partners, sponsorship.</x:v>
      </x:c>
      <x:c r="N34" s="37" t="str">
        <x:v>NEEDS RESEARCH</x:v>
      </x:c>
      <x:c r="O34" s="64" t="str">
        <x:v>Undecided</x:v>
      </x:c>
      <x:c r="P34" s="65" t="str"/>
    </x:row>
    <x:row r="35" ht="66" customHeight="1">
      <x:c r="A35" s="60" t="str">
        <x:v>DOS-029</x:v>
      </x:c>
      <x:c r="B35" s="37" t="str">
        <x:v>Single-Trip Roadside Assistance</x:v>
      </x:c>
      <x:c r="C35" s="37" t="str">
        <x:v>Service venture</x:v>
      </x:c>
      <x:c r="D35" s="37" t="str">
        <x:v>Service/insurance-adjacent site and dispatch concept</x:v>
      </x:c>
      <x:c r="E35" s="37" t="str">
        <x:v>Direct Census comparison</x:v>
      </x:c>
      <x:c r="F35" s="45" t="str">
        <x:v>Needs Definition</x:v>
      </x:c>
      <x:c r="G35" s="37" t="str">
        <x:v>Source: VENTURE211:195</x:v>
      </x:c>
      <x:c r="H35" s="37" t="str">
        <x:v>ZAF-0462</x:v>
      </x:c>
      <x:c r="I35" s="37" t="str">
        <x:v>One-trip or one-event roadside coverage concept; mechanics still need recovery.</x:v>
      </x:c>
      <x:c r="J35" s="37" t="str">
        <x:v>Define offer, service network, coverage rules, quote/checkout path, claims/dispatch boundaries.</x:v>
      </x:c>
      <x:c r="K35" s="37" t="str">
        <x:v>Start landing/validation and partner model; do not build insurance software before legal model exists.</x:v>
      </x:c>
      <x:c r="L35" s="37" t="str">
        <x:v>Member app, dispatch integration, roadside marketplace.</x:v>
      </x:c>
      <x:c r="M35" s="37" t="str">
        <x:v>Policy/event purchase / affiliate/service fees.</x:v>
      </x:c>
      <x:c r="N35" s="37" t="str">
        <x:v>DETAILS UNRESOLVED</x:v>
      </x:c>
      <x:c r="O35" s="64" t="str">
        <x:v>Undecided</x:v>
      </x:c>
      <x:c r="P35" s="65" t="str"/>
    </x:row>
    <x:row r="36" ht="66" customHeight="1">
      <x:c r="A36" s="60" t="str">
        <x:v>DOS-030</x:v>
      </x:c>
      <x:c r="B36" s="37" t="str">
        <x:v>A-Guy Roofing Gateway</x:v>
      </x:c>
      <x:c r="C36" s="37" t="str">
        <x:v>Service venture</x:v>
      </x:c>
      <x:c r="D36" s="37" t="str">
        <x:v>Lead-generation / assessment website</x:v>
      </x:c>
      <x:c r="E36" s="37" t="str">
        <x:v>Direct Census comparison</x:v>
      </x:c>
      <x:c r="F36" s="45" t="str">
        <x:v>First Wave</x:v>
      </x:c>
      <x:c r="G36" s="37" t="str">
        <x:v>V5.2 Core Energy #16</x:v>
      </x:c>
      <x:c r="H36" s="37" t="str">
        <x:v>ZAF-0468</x:v>
      </x:c>
      <x:c r="I36" s="37" t="str">
        <x:v>A concrete roofing assessment, safety-positioned lead, and service gateway.</x:v>
      </x:c>
      <x:c r="J36" s="37" t="str">
        <x:v>Offer pages, inquiry/quote form, service area, proof, booking/lead handoff, simple assessment intake.</x:v>
      </x:c>
      <x:c r="K36" s="37" t="str">
        <x:v>Start website and human-reviewed lead workflow; defer automated risk map and AI diagnosis.</x:v>
      </x:c>
      <x:c r="L36" s="37" t="str">
        <x:v>Roofing risk map, AI assistant, customer portal.</x:v>
      </x:c>
      <x:c r="M36" s="37" t="str">
        <x:v>Leads, assessments, contractor services.</x:v>
      </x:c>
      <x:c r="N36" s="37" t="str">
        <x:v>PACKAGE</x:v>
      </x:c>
      <x:c r="O36" s="64" t="str">
        <x:v>Undecided</x:v>
      </x:c>
      <x:c r="P36" s="65" t="str"/>
    </x:row>
    <x:row r="37" ht="66" customHeight="1">
      <x:c r="A37" s="60" t="str">
        <x:v>DOS-031</x:v>
      </x:c>
      <x:c r="B37" s="37" t="str">
        <x:v>QuoteCraft AI</x:v>
      </x:c>
      <x:c r="C37" s="37" t="str">
        <x:v>Prototype</x:v>
      </x:c>
      <x:c r="D37" s="37" t="str">
        <x:v>AI quotation/workflow prototype</x:v>
      </x:c>
      <x:c r="E37" s="37" t="str">
        <x:v>Direct Census comparison</x:v>
      </x:c>
      <x:c r="F37" s="45" t="str">
        <x:v>Needs Definition</x:v>
      </x:c>
      <x:c r="G37" s="37" t="str">
        <x:v>Source: VENTURE211:203</x:v>
      </x:c>
      <x:c r="H37" s="37" t="str">
        <x:v>VENTURE211:203</x:v>
      </x:c>
      <x:c r="I37" s="37" t="str">
        <x:v>Existing rough Lovable prototype whose actual product scope remains unresolved.</x:v>
      </x:c>
      <x:c r="J37" s="37" t="str">
        <x:v>Recover current prototype behavior, intended user, input/output, and first-dollar model.</x:v>
      </x:c>
      <x:c r="K37" s="37" t="str">
        <x:v>Treat as a narrow test build until its real problem statement is restored.</x:v>
      </x:c>
      <x:c r="L37" s="37" t="str">
        <x:v>Potential quote generation, CRM, or service-estimate workflows.</x:v>
      </x:c>
      <x:c r="M37" s="37" t="str">
        <x:v>Unknown until scope recovery.</x:v>
      </x:c>
      <x:c r="N37" s="37" t="str">
        <x:v>PROTOTYPE — SCOPE UNRESOLVED</x:v>
      </x:c>
      <x:c r="O37" s="64" t="str">
        <x:v>Undecided</x:v>
      </x:c>
      <x:c r="P37" s="65" t="str"/>
    </x:row>
    <x:row r="38" ht="66" customHeight="1">
      <x:c r="A38" s="60" t="str">
        <x:v>DOS-032</x:v>
      </x:c>
      <x:c r="B38" s="37" t="str">
        <x:v>Microtool Studio &amp; Split-Screen Companions</x:v>
      </x:c>
      <x:c r="C38" s="37" t="str">
        <x:v>Standalone venture</x:v>
      </x:c>
      <x:c r="D38" s="37" t="str">
        <x:v>Portfolio of focused tools / companion utilities</x:v>
      </x:c>
      <x:c r="E38" s="37" t="str">
        <x:v>Direct Census comparison</x:v>
      </x:c>
      <x:c r="F38" s="45" t="str">
        <x:v>Expansion</x:v>
      </x:c>
      <x:c r="G38" s="37" t="str">
        <x:v>Source: Single-Purpose Microapp Strategy</x:v>
      </x:c>
      <x:c r="H38" s="37" t="str">
        <x:v>VENTURE211:208</x:v>
      </x:c>
      <x:c r="I38" s="37" t="str">
        <x:v>A studio/system for small obvious tools, especially AI and companion workflows.</x:v>
      </x:c>
      <x:c r="J38" s="37" t="str">
        <x:v>Choose one test tool, shared landing/account/billing approach, simple release template, analytics.</x:v>
      </x:c>
      <x:c r="K38" s="37" t="str">
        <x:v>Prove one narrow utility before building the studio infrastructure.</x:v>
      </x:c>
      <x:c r="L38" s="37" t="str">
        <x:v>Tiny-task router, camera-hole shelf, creator storefront, reusable app shell.</x:v>
      </x:c>
      <x:c r="M38" s="37" t="str">
        <x:v>One-time unlocks / bundles / recurring utility plans.</x:v>
      </x:c>
      <x:c r="N38" s="37" t="str">
        <x:v>STRATEGIC THESIS</x:v>
      </x:c>
      <x:c r="O38" s="64" t="str">
        <x:v>Undecided</x:v>
      </x:c>
      <x:c r="P38" s="65" t="str"/>
    </x:row>
    <x:row r="39" ht="66" customHeight="1">
      <x:c r="A39" s="60" t="str">
        <x:v>DOS-033</x:v>
      </x:c>
      <x:c r="B39" s="37" t="str">
        <x:v>Smart Strap Kit &amp; Modular Backpack</x:v>
      </x:c>
      <x:c r="C39" s="37" t="str">
        <x:v>Physical venture</x:v>
      </x:c>
      <x:c r="D39" s="37" t="str">
        <x:v>Physical product + validation/commerce site</x:v>
      </x:c>
      <x:c r="E39" s="37" t="str">
        <x:v>Supporting website / commerce route</x:v>
      </x:c>
      <x:c r="F39" s="45" t="str">
        <x:v>First Wave</x:v>
      </x:c>
      <x:c r="G39" s="37" t="str">
        <x:v>V5.2 Core Energy #14; Master Priority #8–9</x:v>
      </x:c>
      <x:c r="H39" s="37" t="str">
        <x:v>ZAF-0490</x:v>
      </x:c>
      <x:c r="I39" s="37" t="str">
        <x:v>Modular straps/backpack accessories: phone boom, charging, keys, utility attachments; strap kit is the validation wedge.</x:v>
      </x:c>
      <x:c r="J39" s="37" t="str">
        <x:v>Product renders/spec, waitlist, feature voting, price test, supplier/prototype notes, product landing/commerce route.</x:v>
      </x:c>
      <x:c r="K39" s="37" t="str">
        <x:v>Validate strap wedge and demand before manufacturing whole backpack ecosystem.</x:v>
      </x:c>
      <x:c r="L39" s="37" t="str">
        <x:v>Full backpack, modular bags, travel conversion, lighting, power, hydration, advanced systems.</x:v>
      </x:c>
      <x:c r="M39" s="37" t="str">
        <x:v>Preorders, ecommerce, licensing.</x:v>
      </x:c>
      <x:c r="N39" s="37" t="str">
        <x:v>PROTOTYPE</x:v>
      </x:c>
      <x:c r="O39" s="64" t="str">
        <x:v>Undecided</x:v>
      </x:c>
      <x:c r="P39" s="65" t="str"/>
    </x:row>
    <x:row r="40" ht="66" customHeight="1">
      <x:c r="A40" s="60" t="str">
        <x:v>DOS-034</x:v>
      </x:c>
      <x:c r="B40" s="37" t="str">
        <x:v>Serenity Pits / Serenity Pods</x:v>
      </x:c>
      <x:c r="C40" s="37" t="str">
        <x:v>Physical venture</x:v>
      </x:c>
      <x:c r="D40" s="37" t="str">
        <x:v>Modular retreat product + service/website</x:v>
      </x:c>
      <x:c r="E40" s="37" t="str">
        <x:v>Supporting website / commerce route</x:v>
      </x:c>
      <x:c r="F40" s="45" t="str">
        <x:v>Needs Definition</x:v>
      </x:c>
      <x:c r="G40" s="37" t="str">
        <x:v>Source: VENTURE211:192–194</x:v>
      </x:c>
      <x:c r="H40" s="37" t="str">
        <x:v>ZAF-0515</x:v>
      </x:c>
      <x:c r="I40" s="37" t="str">
        <x:v>Modular backyard/indoor relaxation zones with fire, seating, atmosphere, water/light/sound/scent possibilities.</x:v>
      </x:c>
      <x:c r="J40" s="37" t="str">
        <x:v>Define one sellable starter kit, visual concept, pricing, installation/service model, landing and lead path.</x:v>
      </x:c>
      <x:c r="K40" s="37" t="str">
        <x:v>Validate interest and configuration packages before interactive app control.</x:v>
      </x:c>
      <x:c r="L40" s="37" t="str">
        <x:v>Smart ambiance controls, portable pods, premium systems.</x:v>
      </x:c>
      <x:c r="M40" s="37" t="str">
        <x:v>Product/service sales, installation, premium upgrades.</x:v>
      </x:c>
      <x:c r="N40" s="37" t="str">
        <x:v>NEEDS RESEARCH</x:v>
      </x:c>
      <x:c r="O40" s="64" t="str">
        <x:v>Undecided</x:v>
      </x:c>
      <x:c r="P40" s="65" t="str"/>
    </x:row>
    <x:row r="41" ht="66" customHeight="1">
      <x:c r="A41" s="60" t="str">
        <x:v>DOS-035</x:v>
      </x:c>
      <x:c r="B41" s="37" t="str">
        <x:v>AmazeBallsDeep</x:v>
      </x:c>
      <x:c r="C41" s="37" t="str">
        <x:v>Commerce venture</x:v>
      </x:c>
      <x:c r="D41" s="37" t="str">
        <x:v>Print-on-demand merch brand / storefront</x:v>
      </x:c>
      <x:c r="E41" s="37" t="str">
        <x:v>Supporting website / commerce route</x:v>
      </x:c>
      <x:c r="F41" s="45" t="str">
        <x:v>First Wave</x:v>
      </x:c>
      <x:c r="G41" s="37" t="str">
        <x:v>V5.2 Core Energy #17; Master Priority #1</x:v>
      </x:c>
      <x:c r="H41" s="37" t="str">
        <x:v>ZAF-0517</x:v>
      </x:c>
      <x:c r="I41" s="37" t="str">
        <x:v>Provocative print-on-demand merchandise cash-flow test.</x:v>
      </x:c>
      <x:c r="J41" s="37" t="str">
        <x:v>Brand guardrails, initial products, storefront, print fulfillment, checkout, campaign/analytics.</x:v>
      </x:c>
      <x:c r="K41" s="37" t="str">
        <x:v>Start with a small product line and fulfillment partner; defer large custom ecommerce stack.</x:v>
      </x:c>
      <x:c r="L41" s="37" t="str">
        <x:v>Content engine, affiliate/creator collaborations, wider merch universe.</x:v>
      </x:c>
      <x:c r="M41" s="37" t="str">
        <x:v>Print-on-demand sales.</x:v>
      </x:c>
      <x:c r="N41" s="37" t="str">
        <x:v>FAST TEST</x:v>
      </x:c>
      <x:c r="O41" s="64" t="str">
        <x:v>Undecided</x:v>
      </x:c>
      <x:c r="P41" s="65" t="str"/>
    </x:row>
    <x:row r="42" ht="66" customHeight="1">
      <x:c r="A42" s="60" t="str">
        <x:v>DOS-036</x:v>
      </x:c>
      <x:c r="B42" s="37" t="str">
        <x:v>Doggy Styles</x:v>
      </x:c>
      <x:c r="C42" s="37" t="str">
        <x:v>Commerce venture</x:v>
      </x:c>
      <x:c r="D42" s="37" t="str">
        <x:v>Pet ecommerce brand / storefront</x:v>
      </x:c>
      <x:c r="E42" s="37" t="str">
        <x:v>Supporting website / commerce route</x:v>
      </x:c>
      <x:c r="F42" s="45" t="str">
        <x:v>First Wave</x:v>
      </x:c>
      <x:c r="G42" s="37" t="str">
        <x:v>V5.2 Core Energy #18; Master Priority #7</x:v>
      </x:c>
      <x:c r="H42" s="37" t="str">
        <x:v>ZAF-0518</x:v>
      </x:c>
      <x:c r="I42" s="37" t="str">
        <x:v>Custom pet and owner merchandise, accessories, portraits, and matching products.</x:v>
      </x:c>
      <x:c r="J42" s="37" t="str">
        <x:v>Catalog, brand identity, Printful/fulfillment route, store pages, checkout, first campaign.</x:v>
      </x:c>
      <x:c r="K42" s="37" t="str">
        <x:v>Launch minimal catalog and test audience; defer custom pet profile app.</x:v>
      </x:c>
      <x:c r="L42" s="37" t="str">
        <x:v>Personalized tools, subscriptions, pet community.</x:v>
      </x:c>
      <x:c r="M42" s="37" t="str">
        <x:v>Print-on-demand / pet-product sales.</x:v>
      </x:c>
      <x:c r="N42" s="37" t="str">
        <x:v>FAST TEST</x:v>
      </x:c>
      <x:c r="O42" s="64" t="str">
        <x:v>Undecided</x:v>
      </x:c>
      <x:c r="P42" s="65" t="str"/>
    </x:row>
    <x:row r="43" ht="66" customHeight="1">
      <x:c r="A43" s="60" t="str">
        <x:v>DOS-037</x:v>
      </x:c>
      <x:c r="B43" s="37" t="str">
        <x:v>ZAFtastic Community Hub / Life Hub</x:v>
      </x:c>
      <x:c r="C43" s="37" t="str">
        <x:v>Community venture</x:v>
      </x:c>
      <x:c r="D43" s="37" t="str">
        <x:v>Physical-service hub + companion site/app</x:v>
      </x:c>
      <x:c r="E43" s="37" t="str">
        <x:v>Supporting website / commerce route</x:v>
      </x:c>
      <x:c r="F43" s="45" t="str">
        <x:v>Long-Horizon</x:v>
      </x:c>
      <x:c r="G43" s="37" t="str">
        <x:v>Source: VENTURE211:169 / ZAF-0477</x:v>
      </x:c>
      <x:c r="H43" s="37" t="str">
        <x:v>ZAF-0477</x:v>
      </x:c>
      <x:c r="I43" s="37" t="str">
        <x:v>Airport/mall-style community hub with concentric services, wellness, recreation, learning, care, and administration.</x:v>
      </x:c>
      <x:c r="J43" s="37" t="str">
        <x:v>Define physical concept, service mix, audience, pilot location hypothesis, credibility site, lead/investor packet.</x:v>
      </x:c>
      <x:c r="K43" s="37" t="str">
        <x:v>Treat as researched vision/pitch system first; defer platform/app build.</x:v>
      </x:c>
      <x:c r="L43" s="37" t="str">
        <x:v>Companion app, membership, schedules, maps, booking, service marketplace.</x:v>
      </x:c>
      <x:c r="M43" s="37" t="str">
        <x:v>Real estate/services/membership/partners.</x:v>
      </x:c>
      <x:c r="N43" s="37" t="str">
        <x:v>LONG-HORIZON</x:v>
      </x:c>
      <x:c r="O43" s="64" t="str">
        <x:v>Undecided</x:v>
      </x:c>
      <x:c r="P43" s="65" t="str"/>
    </x:row>
    <x:row r="44" ht="66" customHeight="1">
      <x:c r="A44" s="60" t="str">
        <x:v>DOS-038</x:v>
      </x:c>
      <x:c r="B44" s="37" t="str">
        <x:v>Karaoke Dating</x:v>
      </x:c>
      <x:c r="C44" s="37" t="str">
        <x:v>ZAF-adjacent</x:v>
      </x:c>
      <x:c r="D44" s="37" t="str">
        <x:v>Karaoke-centered relationship/matching app seed</x:v>
      </x:c>
      <x:c r="E44" s="37" t="str">
        <x:v>Direct Census comparison</x:v>
      </x:c>
      <x:c r="F44" s="45" t="str">
        <x:v>Needs Definition</x:v>
      </x:c>
      <x:c r="G44" s="37" t="str">
        <x:v>Source: VENTURE211:168</x:v>
      </x:c>
      <x:c r="H44" s="37" t="str">
        <x:v>VENTURE211:168</x:v>
      </x:c>
      <x:c r="I44" s="37" t="str">
        <x:v>Karaoke-centered matching/relationship concept with scope not yet developed.</x:v>
      </x:c>
      <x:c r="J44" s="37" t="str">
        <x:v>Define audience, safety model, matching premise, consent, moderation, and smallest viable interaction.</x:v>
      </x:c>
      <x:c r="K44" s="37" t="str">
        <x:v>Start as a landing/interest test; defer live matching and social graph.</x:v>
      </x:c>
      <x:c r="L44" s="37" t="str">
        <x:v>Profiles, matching, events, karaoke performance links.</x:v>
      </x:c>
      <x:c r="M44" s="37" t="str">
        <x:v>Memberships / events / partnerships.</x:v>
      </x:c>
      <x:c r="N44" s="37" t="str">
        <x:v>SEED</x:v>
      </x:c>
      <x:c r="O44" s="64" t="str">
        <x:v>Undecided</x:v>
      </x:c>
      <x:c r="P44" s="65" t="str"/>
    </x:row>
    <x:row r="45" ht="66" customHeight="1">
      <x:c r="A45" s="60" t="str">
        <x:v>DOS-039</x:v>
      </x:c>
      <x:c r="B45" s="37" t="str">
        <x:v>ZAF Shared Platform Foundation</x:v>
      </x:c>
      <x:c r="C45" s="37" t="str">
        <x:v>ZAF shared infrastructure</x:v>
      </x:c>
      <x:c r="D45" s="37" t="str">
        <x:v>Shared identity, media, analytics, moderation, rewards &amp; export layer</x:v>
      </x:c>
      <x:c r="E45" s="37" t="str">
        <x:v>Direct Census comparison</x:v>
      </x:c>
      <x:c r="F45" s="45" t="str">
        <x:v>Expansion</x:v>
      </x:c>
      <x:c r="G45" s="37" t="str">
        <x:v>Registry shared systems ZAF-0532–0541</x:v>
      </x:c>
      <x:c r="H45" s="37" t="str">
        <x:v>ZAF-0520</x:v>
      </x:c>
      <x:c r="I45" s="37" t="str">
        <x:v>The reusable backstage layer that prevents ZAF products from rebuilding identity, data, media, rewards, and export from scratch.</x:v>
      </x:c>
      <x:c r="J45" s="37" t="str">
        <x:v>Shared auth/roles, common data boundaries, media vault plan, analytics events, moderation/reporting policy, export conventions.</x:v>
      </x:c>
      <x:c r="K45" s="37" t="str">
        <x:v>Begin with a simple written/data contract and reuse a managed backend; defer premature unified infrastructure.</x:v>
      </x:c>
      <x:c r="L45" s="37" t="str">
        <x:v>Federated products, shared loyalty, creator assets, migration toolkit.</x:v>
      </x:c>
      <x:c r="M45" s="37" t="str">
        <x:v>Cost avoidance / shared ecosystem leverage.</x:v>
      </x:c>
      <x:c r="N45" s="37" t="str">
        <x:v>SHARED FOUNDATION</x:v>
      </x:c>
      <x:c r="O45" s="64" t="str">
        <x:v>Undecided</x:v>
      </x:c>
      <x:c r="P45" s="65" t="str"/>
    </x:row>
    <x:row r="46" ht="66" customHeight="1">
      <x:c r="A46" s="60" t="str">
        <x:v>DOS-040</x:v>
      </x:c>
      <x:c r="B46" s="37" t="str">
        <x:v>ZAF Master Vault &amp; Compiler</x:v>
      </x:c>
      <x:c r="C46" s="37" t="str">
        <x:v>ZAF internal OS</x:v>
      </x:c>
      <x:c r="D46" s="37" t="str">
        <x:v>Knowledge, source-packet, and decision repository</x:v>
      </x:c>
      <x:c r="E46" s="37" t="str">
        <x:v>Direct Census comparison</x:v>
      </x:c>
      <x:c r="F46" s="45" t="str">
        <x:v>Expansion</x:v>
      </x:c>
      <x:c r="G46" s="37" t="str">
        <x:v>Source: VENTURE211:153–154; Four-Project Architecture</x:v>
      </x:c>
      <x:c r="H46" s="37" t="str">
        <x:v>VENTURE211:153/154</x:v>
      </x:c>
      <x:c r="I46" s="37" t="str">
        <x:v>Canonical repository and compiler for ZAF project knowledge, sources, decisions, and structured intake.</x:v>
      </x:c>
      <x:c r="J46" s="37" t="str">
        <x:v>Project register, source ledger, source packet intake, search/filter, decision links, durable export.</x:v>
      </x:c>
      <x:c r="K46" s="37" t="str">
        <x:v>Use spreadsheet/knowledge base first; defer full custom intelligence interface.</x:v>
      </x:c>
      <x:c r="L46" s="37" t="str">
        <x:v>Automated extraction, contradiction detection, graph view, source APIs.</x:v>
      </x:c>
      <x:c r="M46" s="37" t="str">
        <x:v>Internal leverage / possible future product.</x:v>
      </x:c>
      <x:c r="N46" s="37" t="str">
        <x:v>ACTIVE INTERNAL</x:v>
      </x:c>
      <x:c r="O46" s="64" t="str">
        <x:v>Undecided</x:v>
      </x:c>
      <x:c r="P46" s="65" t="str"/>
    </x:row>
    <x:row r="47" ht="66" customHeight="1">
      <x:c r="A47" s="60" t="str">
        <x:v>DOS-041</x:v>
      </x:c>
      <x:c r="B47" s="37" t="str">
        <x:v>ZAF Museum &amp; Source Archive</x:v>
      </x:c>
      <x:c r="C47" s="37" t="str">
        <x:v>ZAF internal OS</x:v>
      </x:c>
      <x:c r="D47" s="37" t="str">
        <x:v>Historical archive and source-preservation system</x:v>
      </x:c>
      <x:c r="E47" s="37" t="str">
        <x:v>Direct Census comparison</x:v>
      </x:c>
      <x:c r="F47" s="45" t="str">
        <x:v>Expansion</x:v>
      </x:c>
      <x:c r="G47" s="37" t="str">
        <x:v>Source: VENTURE211:155 / 158</x:v>
      </x:c>
      <x:c r="H47" s="37" t="str">
        <x:v>VENTURE211:155/158</x:v>
      </x:c>
      <x:c r="I47" s="37" t="str">
        <x:v>Historical archive for cultural fossils, abandoned branches, artifacts, chronology, and deletion safety.</x:v>
      </x:c>
      <x:c r="J47" s="37" t="str">
        <x:v>Archive taxonomy, source references, status/canonicality, timelines, retrieval/export.</x:v>
      </x:c>
      <x:c r="K47" s="37" t="str">
        <x:v>Start as an archive layer within Master Vault; defer separate public museum.</x:v>
      </x:c>
      <x:c r="L47" s="37" t="str">
        <x:v>Public exhibit, interactive timeline, lore world.</x:v>
      </x:c>
      <x:c r="M47" s="37" t="str">
        <x:v>Internal preservation / public cultural product later.</x:v>
      </x:c>
      <x:c r="N47" s="37" t="str">
        <x:v>ACTIVE INTERNAL</x:v>
      </x:c>
      <x:c r="O47" s="64" t="str">
        <x:v>Undecided</x:v>
      </x:c>
      <x:c r="P47" s="65" t="str"/>
    </x:row>
    <x:row r="48" ht="66" customHeight="1">
      <x:c r="A48" s="60" t="str">
        <x:v>DOS-042</x:v>
      </x:c>
      <x:c r="B48" s="37" t="str">
        <x:v>ZAF Strategy Council &amp; Builder Trials</x:v>
      </x:c>
      <x:c r="C48" s="37" t="str">
        <x:v>ZAF internal OS</x:v>
      </x:c>
      <x:c r="D48" s="37" t="str">
        <x:v>Decision/benchmark operating system</x:v>
      </x:c>
      <x:c r="E48" s="37" t="str">
        <x:v>Direct Census comparison</x:v>
      </x:c>
      <x:c r="F48" s="45" t="str">
        <x:v>First Wave</x:v>
      </x:c>
      <x:c r="G48" s="37" t="str">
        <x:v>Source: VENTURE211:159–161; Census V6.1</x:v>
      </x:c>
      <x:c r="H48" s="37" t="str">
        <x:v>VENTURE211:159–161</x:v>
      </x:c>
      <x:c r="I48" s="37" t="str">
        <x:v>Controlled evaluation system for business direction and selecting app/website builders through real tests.</x:v>
      </x:c>
      <x:c r="J48" s="37" t="str">
        <x:v>Project requirement profiles, Census join, strict/flexible routes, 3–5 test builds, decision dashboard.</x:v>
      </x:c>
      <x:c r="K48" s="37" t="str">
        <x:v>Use this Dossier/Census workbook system first; defer public UI.</x:v>
      </x:c>
      <x:c r="L48" s="37" t="str">
        <x:v>Living benchmarks, test automation, public selector.</x:v>
      </x:c>
      <x:c r="M48" s="37" t="str">
        <x:v>Saves time/money; future advisory product.</x:v>
      </x:c>
      <x:c r="N48" s="37" t="str">
        <x:v>ACTIVE INTERNAL</x:v>
      </x:c>
      <x:c r="O48" s="64" t="str">
        <x:v>Undecided</x:v>
      </x:c>
      <x:c r="P48" s="65" t="str"/>
    </x:row>
    <x:row r="49" ht="66" customHeight="1">
      <x:c r="A49" s="60" t="str">
        <x:v>DOS-043</x:v>
      </x:c>
      <x:c r="B49" s="37" t="str">
        <x:v>Private 4-Dimensional Information Site</x:v>
      </x:c>
      <x:c r="C49" s="37" t="str">
        <x:v>ZAF internal OS</x:v>
      </x:c>
      <x:c r="D49" s="37" t="str">
        <x:v>Navigable knowledge website</x:v>
      </x:c>
      <x:c r="E49" s="37" t="str">
        <x:v>Direct Census comparison</x:v>
      </x:c>
      <x:c r="F49" s="45" t="str">
        <x:v>Expansion</x:v>
      </x:c>
      <x:c r="G49" s="37" t="str">
        <x:v>Source: VENTURE211:162</x:v>
      </x:c>
      <x:c r="H49" s="37" t="str">
        <x:v>VENTURE211:162</x:v>
      </x:c>
      <x:c r="I49" s="37" t="str">
        <x:v>Private navigable ZAF information space beyond folders/documents.</x:v>
      </x:c>
      <x:c r="J49" s="37" t="str">
        <x:v>Information architecture, project cards, source links, search, visual navigation prototype.</x:v>
      </x:c>
      <x:c r="K49" s="37" t="str">
        <x:v>Start with a simple internal hub rather than a full immersive world.</x:v>
      </x:c>
      <x:c r="L49" s="37" t="str">
        <x:v>Spatial/cockpit interfaces, graph/exploration, shared collaboration.</x:v>
      </x:c>
      <x:c r="M49" s="37" t="str">
        <x:v>Internal leverage / possible premium knowledge product.</x:v>
      </x:c>
      <x:c r="N49" s="37" t="str">
        <x:v>FUTURE</x:v>
      </x:c>
      <x:c r="O49" s="64" t="str">
        <x:v>Undecided</x:v>
      </x:c>
      <x:c r="P49" s="65" t="str"/>
    </x:row>
    <x:row r="50" ht="66" customHeight="1">
      <x:c r="A50" s="60" t="str">
        <x:v>DOS-044</x:v>
      </x:c>
      <x:c r="B50" s="37" t="str">
        <x:v>Customization Prompt Archive + Lab</x:v>
      </x:c>
      <x:c r="C50" s="37" t="str">
        <x:v>ZAF internal OS</x:v>
      </x:c>
      <x:c r="D50" s="37" t="str">
        <x:v>Prompt/instruction system</x:v>
      </x:c>
      <x:c r="E50" s="37" t="str">
        <x:v>Direct Census comparison</x:v>
      </x:c>
      <x:c r="F50" s="45" t="str">
        <x:v>Expansion</x:v>
      </x:c>
      <x:c r="G50" s="37" t="str">
        <x:v>Source: VENTURE211:163</x:v>
      </x:c>
      <x:c r="H50" s="37" t="str">
        <x:v>VENTURE211:163</x:v>
      </x:c>
      <x:c r="I50" s="37" t="str">
        <x:v>Central place for current/archived customization prompts and future prompt development.</x:v>
      </x:c>
      <x:c r="J50" s="37" t="str">
        <x:v>Prompt records, version history, use case, copy/export, approvals, archive logic.</x:v>
      </x:c>
      <x:c r="K50" s="37" t="str">
        <x:v>Fold into Prompt Vault first; split only if its specialized workflow proves distinct.</x:v>
      </x:c>
      <x:c r="L50" s="37" t="str">
        <x:v>Collaborative prompt lab, testing, evaluations, product templates.</x:v>
      </x:c>
      <x:c r="M50" s="37" t="str">
        <x:v>Internal leverage / future template product.</x:v>
      </x:c>
      <x:c r="N50" s="37" t="str">
        <x:v>FUTURE</x:v>
      </x:c>
      <x:c r="O50" s="64" t="str">
        <x:v>Undecided</x:v>
      </x:c>
      <x:c r="P50" s="65" t="str"/>
    </x:row>
    <x:row r="51" ht="66" customHeight="1">
      <x:c r="A51" s="60" t="str">
        <x:v>DOS-045</x:v>
      </x:c>
      <x:c r="B51" s="37" t="str">
        <x:v>ZAF Lessons, Workshops, Events, Forum + Blog</x:v>
      </x:c>
      <x:c r="C51" s="37" t="str">
        <x:v>ZAF services</x:v>
      </x:c>
      <x:c r="D51" s="37" t="str">
        <x:v>Education/content/community website</x:v>
      </x:c>
      <x:c r="E51" s="37" t="str">
        <x:v>Direct Census comparison</x:v>
      </x:c>
      <x:c r="F51" s="45" t="str">
        <x:v>Expansion</x:v>
      </x:c>
      <x:c r="G51" s="37" t="str">
        <x:v>Source: VENTURE211:166</x:v>
      </x:c>
      <x:c r="H51" s="37" t="str">
        <x:v>VENTURE211:166</x:v>
      </x:c>
      <x:c r="I51" s="37" t="str">
        <x:v>Education, recurring events, owned media, workshops, and community programming.</x:v>
      </x:c>
      <x:c r="J51" s="37" t="str">
        <x:v>Public pages, event calendar, registration/contact, content/blog, basic community handoff.</x:v>
      </x:c>
      <x:c r="K51" s="37" t="str">
        <x:v>Start content/service site and manual events before custom forum/community tech.</x:v>
      </x:c>
      <x:c r="L51" s="37" t="str">
        <x:v>Member area, courses, forum, premium events.</x:v>
      </x:c>
      <x:c r="M51" s="37" t="str">
        <x:v>Tickets, workshops, sponsorship, services.</x:v>
      </x:c>
      <x:c r="N51" s="37" t="str">
        <x:v>FUTURE</x:v>
      </x:c>
      <x:c r="O51" s="64" t="str">
        <x:v>Undecided</x:v>
      </x:c>
      <x:c r="P51" s="65" t="str"/>
    </x:row>
    <x:row r="52" ht="66" customHeight="1">
      <x:c r="A52" s="60" t="str">
        <x:v>DOS-046</x:v>
      </x:c>
      <x:c r="B52" s="37" t="str">
        <x:v>Song, Setlist &amp; Collaboration Tools</x:v>
      </x:c>
      <x:c r="C52" s="37" t="str">
        <x:v>ZAF music utility</x:v>
      </x:c>
      <x:c r="D52" s="37" t="str">
        <x:v>Song selector, setlist, warmup, harmony and collaboration tool family</x:v>
      </x:c>
      <x:c r="E52" s="37" t="str">
        <x:v>Direct Census comparison</x:v>
      </x:c>
      <x:c r="F52" s="45" t="str">
        <x:v>Expansion</x:v>
      </x:c>
      <x:c r="G52" s="37" t="str">
        <x:v>Master Priority #14–20; Registry ZAF-0113</x:v>
      </x:c>
      <x:c r="H52" s="37" t="str">
        <x:v>ZAF-0113</x:v>
      </x:c>
      <x:c r="I52" s="37" t="str">
        <x:v>Utilities helping performers choose songs, prepare, coordinate duets, set keys, and build sets.</x:v>
      </x:c>
      <x:c r="J52" s="37" t="str">
        <x:v>One useful song/setlist recommendation tool with structured song data, saved choices, simple share/export.</x:v>
      </x:c>
      <x:c r="K52" s="37" t="str">
        <x:v>Start one utility and external data/link workflows; defer broad music intelligence.</x:v>
      </x:c>
      <x:c r="L52" s="37" t="str">
        <x:v>Warmup coach, harmony engine, duet planner, ecosystem handoff.</x:v>
      </x:c>
      <x:c r="M52" s="37" t="str">
        <x:v>Freemium tools / KaraokeDokie funnel.</x:v>
      </x:c>
      <x:c r="N52" s="37" t="str">
        <x:v>ACTIVE EXPLORATION</x:v>
      </x:c>
      <x:c r="O52" s="64" t="str">
        <x:v>Undecided</x:v>
      </x:c>
      <x:c r="P52" s="65" t="str"/>
    </x:row>
    <x:row r="53" ht="66" customHeight="1">
      <x:c r="A53" s="60" t="str">
        <x:v>DOS-047</x:v>
      </x:c>
      <x:c r="B53" s="37" t="str">
        <x:v>ZAF Vocal Warmup Coach</x:v>
      </x:c>
      <x:c r="C53" s="37" t="str">
        <x:v>ZAF music utility</x:v>
      </x:c>
      <x:c r="D53" s="37" t="str">
        <x:v>Vocal-preparation app/module</x:v>
      </x:c>
      <x:c r="E53" s="37" t="str">
        <x:v>Direct Census comparison</x:v>
      </x:c>
      <x:c r="F53" s="45" t="str">
        <x:v>Expansion</x:v>
      </x:c>
      <x:c r="G53" s="37" t="str">
        <x:v>Master Priority #18; Registry ZAF-0122</x:v>
      </x:c>
      <x:c r="H53" s="37" t="str">
        <x:v>ZAF-0122</x:v>
      </x:c>
      <x:c r="I53" s="37" t="str">
        <x:v>General and song-specific vocal warmup preparation.</x:v>
      </x:c>
      <x:c r="J53" s="37" t="str">
        <x:v>Song/range/context intake, time-boxed routine, safe coaching content, saved routines.</x:v>
      </x:c>
      <x:c r="K53" s="37" t="str">
        <x:v>Start non-diagnostic/general guidance; defer voice analysis and health claims.</x:v>
      </x:c>
      <x:c r="L53" s="37" t="str">
        <x:v>Range calibration, audio feedback, KaraokeDokie handoff.</x:v>
      </x:c>
      <x:c r="M53" s="37" t="str">
        <x:v>Freemium / coaching packs.</x:v>
      </x:c>
      <x:c r="N53" s="37" t="str">
        <x:v>ACTIVE EXPLORATION</x:v>
      </x:c>
      <x:c r="O53" s="64" t="str">
        <x:v>Undecided</x:v>
      </x:c>
      <x:c r="P53" s="65" t="str"/>
    </x:row>
    <x:row r="54" ht="66" customHeight="1">
      <x:c r="A54" s="60" t="str">
        <x:v>DOS-048</x:v>
      </x:c>
      <x:c r="B54" s="37" t="str">
        <x:v>ZAF Lyric Mashup &amp; Creative Tools</x:v>
      </x:c>
      <x:c r="C54" s="37" t="str">
        <x:v>ZAF music utility</x:v>
      </x:c>
      <x:c r="D54" s="37" t="str">
        <x:v>Creative writing / performance concept tool</x:v>
      </x:c>
      <x:c r="E54" s="37" t="str">
        <x:v>Direct Census comparison</x:v>
      </x:c>
      <x:c r="F54" s="45" t="str">
        <x:v>Expansion</x:v>
      </x:c>
      <x:c r="G54" s="37" t="str">
        <x:v>Source: VENTURE211:117</x:v>
      </x:c>
      <x:c r="H54" s="37" t="str">
        <x:v>VENTURE211:117</x:v>
      </x:c>
      <x:c r="I54" s="37" t="str">
        <x:v>Creates/mashes lyrical material into original performance concepts while respecting rights boundaries.</x:v>
      </x:c>
      <x:c r="J54" s="37" t="str">
        <x:v>Define permitted source/rights rules, concept prompts, transformation outputs, save/export.</x:v>
      </x:c>
      <x:c r="K54" s="37" t="str">
        <x:v>Start with user-supplied/public-domain/abstract concepts; defer copyrighted lyric reproduction.</x:v>
      </x:c>
      <x:c r="L54" s="37" t="str">
        <x:v>Collaboration, performance packages, publishing assets.</x:v>
      </x:c>
      <x:c r="M54" s="37" t="str">
        <x:v>Creator packs / tool bundle.</x:v>
      </x:c>
      <x:c r="N54" s="37" t="str">
        <x:v>ACTIVE EXPLORATION</x:v>
      </x:c>
      <x:c r="O54" s="64" t="str">
        <x:v>Undecided</x:v>
      </x:c>
      <x:c r="P54" s="65" t="str"/>
    </x:row>
    <x:row r="55" ht="66" customHeight="1">
      <x:c r="A55" s="60" t="str">
        <x:v>DOS-049</x:v>
      </x:c>
      <x:c r="B55" s="37" t="str">
        <x:v>ZAF Artist Passport</x:v>
      </x:c>
      <x:c r="C55" s="37" t="str">
        <x:v>ZAF identity</x:v>
      </x:c>
      <x:c r="D55" s="37" t="str">
        <x:v>Portable artist identity and achievement system</x:v>
      </x:c>
      <x:c r="E55" s="37" t="str">
        <x:v>Direct Census comparison</x:v>
      </x:c>
      <x:c r="F55" s="45" t="str">
        <x:v>Expansion</x:v>
      </x:c>
      <x:c r="G55" s="37" t="str">
        <x:v>Master Priority #47; Registry ZAF-0194</x:v>
      </x:c>
      <x:c r="H55" s="37" t="str">
        <x:v>ZAF-0194</x:v>
      </x:c>
      <x:c r="I55" s="37" t="str">
        <x:v>Portable vocalist identity with achievements, badges, history, titles, performance links, and verification.</x:v>
      </x:c>
      <x:c r="J55" s="37" t="str">
        <x:v>Public/private passport profile, achievement record, external links, basic verification/claim model.</x:v>
      </x:c>
      <x:c r="K55" s="37" t="str">
        <x:v>Launch manual/curated records before broad validation or credentials.</x:v>
      </x:c>
      <x:c r="L55" s="37" t="str">
        <x:v>Shared ZAF identity, domains, portfolio, rewards, prestige.</x:v>
      </x:c>
      <x:c r="M55" s="37" t="str">
        <x:v>Premium passport upgrades / services.</x:v>
      </x:c>
      <x:c r="N55" s="37" t="str">
        <x:v>ACTIVE EXPLORATION</x:v>
      </x:c>
      <x:c r="O55" s="64" t="str">
        <x:v>Undecided</x:v>
      </x:c>
      <x:c r="P55" s="65" t="str"/>
    </x:row>
    <x:row r="56" ht="66" customHeight="1">
      <x:c r="A56" s="60" t="str">
        <x:v>DOS-050</x:v>
      </x:c>
      <x:c r="B56" s="37" t="str">
        <x:v>ZAF Rewards, Loyalty &amp; Commerce</x:v>
      </x:c>
      <x:c r="C56" s="37" t="str">
        <x:v>ZAF ecosystem</x:v>
      </x:c>
      <x:c r="D56" s="37" t="str">
        <x:v>ZAF BUCKS, badges, shop and entitlement system</x:v>
      </x:c>
      <x:c r="E56" s="37" t="str">
        <x:v>Direct Census comparison</x:v>
      </x:c>
      <x:c r="F56" s="45" t="str">
        <x:v>Expansion</x:v>
      </x:c>
      <x:c r="G56" s="37" t="str">
        <x:v>Source: VENTURE211:128–131</x:v>
      </x:c>
      <x:c r="H56" s="37" t="str">
        <x:v>VENTURE211:128–131</x:v>
      </x:c>
      <x:c r="I56" s="37" t="str">
        <x:v>Engagement-linked badges, stickers, ZAF BUCKS, rewards, savings, and store.</x:v>
      </x:c>
      <x:c r="J56" s="37" t="str">
        <x:v>Simple badge catalog, manual reward ledger, redemption rules, product/shop landing.</x:v>
      </x:c>
      <x:c r="K56" s="37" t="str">
        <x:v>Start manual/limited rewards; defer currency-style economy and cross-product automation.</x:v>
      </x:c>
      <x:c r="L56" s="37" t="str">
        <x:v>Shared entitlements, loyalty shop, community economy.</x:v>
      </x:c>
      <x:c r="M56" s="37" t="str">
        <x:v>Commerce, retention, partner offers.</x:v>
      </x:c>
      <x:c r="N56" s="37" t="str">
        <x:v>FUTURE</x:v>
      </x:c>
      <x:c r="O56" s="64" t="str">
        <x:v>Undecided</x:v>
      </x:c>
      <x:c r="P56" s="65" t="str"/>
    </x:row>
    <x:row r="57" ht="66" customHeight="1">
      <x:c r="A57" s="60" t="str">
        <x:v>DOS-051</x:v>
      </x:c>
      <x:c r="B57" s="37" t="str">
        <x:v>Virtual Labels, Talent Scouting &amp; Label Ladder</x:v>
      </x:c>
      <x:c r="C57" s="37" t="str">
        <x:v>ZAF services</x:v>
      </x:c>
      <x:c r="D57" s="37" t="str">
        <x:v>Artist-development service system</x:v>
      </x:c>
      <x:c r="E57" s="37" t="str">
        <x:v>Direct Census comparison</x:v>
      </x:c>
      <x:c r="F57" s="45" t="str">
        <x:v>Expansion</x:v>
      </x:c>
      <x:c r="G57" s="37" t="str">
        <x:v>Source: VENTURE211:140–142</x:v>
      </x:c>
      <x:c r="H57" s="37" t="str">
        <x:v>VENTURE211:140–142</x:v>
      </x:c>
      <x:c r="I57" s="37" t="str">
        <x:v>Distributed labels, artist discovery, promotion, development, and production opportunities.</x:v>
      </x:c>
      <x:c r="J57" s="37" t="str">
        <x:v>Public explanation, application/nomination, service pathways, basic artist pipeline/CRM.</x:v>
      </x:c>
      <x:c r="K57" s="37" t="str">
        <x:v>Start as service/portal and curated pathways before platformized label network.</x:v>
      </x:c>
      <x:c r="L57" s="37" t="str">
        <x:v>Multiple labels, talent marketplace, record achievements, domains.</x:v>
      </x:c>
      <x:c r="M57" s="37" t="str">
        <x:v>Services, releases, patronage, label participation.</x:v>
      </x:c>
      <x:c r="N57" s="37" t="str">
        <x:v>FUTURE</x:v>
      </x:c>
      <x:c r="O57" s="64" t="str">
        <x:v>Undecided</x:v>
      </x:c>
      <x:c r="P57" s="65" t="str"/>
    </x:row>
    <x:row r="58" ht="66" customHeight="1">
      <x:c r="A58" s="60" t="str">
        <x:v>DOS-052</x:v>
      </x:c>
      <x:c r="B58" s="37" t="str">
        <x:v>ZAF Merchandise &amp; Patronage</x:v>
      </x:c>
      <x:c r="C58" s="37" t="str">
        <x:v>ZAF commerce</x:v>
      </x:c>
      <x:c r="D58" s="37" t="str">
        <x:v>Merchandise, tribute funding, and sponsored recognition</x:v>
      </x:c>
      <x:c r="E58" s="37" t="str">
        <x:v>Supporting website / commerce route</x:v>
      </x:c>
      <x:c r="F58" s="45" t="str">
        <x:v>Expansion</x:v>
      </x:c>
      <x:c r="G58" s="37" t="str">
        <x:v>Source: VENTURE211:147–148</x:v>
      </x:c>
      <x:c r="H58" s="37" t="str">
        <x:v>VENTURE211:147–148</x:v>
      </x:c>
      <x:c r="I58" s="37" t="str">
        <x:v>Branded merchandise and patron-funded tributes, artifacts, or honors.</x:v>
      </x:c>
      <x:c r="J58" s="37" t="str">
        <x:v>Small catalog, sponsor/tribute offer, checkout/contact, fulfillment or manual order flow.</x:v>
      </x:c>
      <x:c r="K58" s="37" t="str">
        <x:v>Use simple commerce/fulfillment and manual sponsor management first.</x:v>
      </x:c>
      <x:c r="L58" s="37" t="str">
        <x:v>Integrated rewards, patron houses, public storefront.</x:v>
      </x:c>
      <x:c r="M58" s="37" t="str">
        <x:v>Merch, sponsored honors, patronage.</x:v>
      </x:c>
      <x:c r="N58" s="37" t="str">
        <x:v>FUTURE</x:v>
      </x:c>
      <x:c r="O58" s="64" t="str">
        <x:v>Undecided</x:v>
      </x:c>
      <x:c r="P58" s="65" t="str"/>
    </x:row>
    <x:row r="59" ht="66" customHeight="1">
      <x:c r="A59" s="60" t="str">
        <x:v>DOS-053</x:v>
      </x:c>
      <x:c r="B59" s="37" t="str">
        <x:v>Themed Party Room Idea Generator</x:v>
      </x:c>
      <x:c r="C59" s="37" t="str">
        <x:v>Standalone generator</x:v>
      </x:c>
      <x:c r="D59" s="37" t="str">
        <x:v>Event/theme idea generator</x:v>
      </x:c>
      <x:c r="E59" s="37" t="str">
        <x:v>Direct Census comparison</x:v>
      </x:c>
      <x:c r="F59" s="45" t="str">
        <x:v>Fast Prototype</x:v>
      </x:c>
      <x:c r="G59" s="37" t="str">
        <x:v>Source: VENTURE211:118</x:v>
      </x:c>
      <x:c r="H59" s="37" t="str">
        <x:v>VENTURE211:118</x:v>
      </x:c>
      <x:c r="I59" s="37" t="str">
        <x:v>Generates room themes, activities, presentation ideas, and social prompts.</x:v>
      </x:c>
      <x:c r="J59" s="37" t="str">
        <x:v>Simple prompt intake, themed output pack, save/share, public landing, optional purchase.</x:v>
      </x:c>
      <x:c r="K59" s="37" t="str">
        <x:v>Start with text/image output only; defer collaboration/events marketplace.</x:v>
      </x:c>
      <x:c r="L59" s="37" t="str">
        <x:v>Theme packs, bookings, party planning marketplace.</x:v>
      </x:c>
      <x:c r="M59" s="37" t="str">
        <x:v>Digital packs / affiliate/sponsor.</x:v>
      </x:c>
      <x:c r="N59" s="37" t="str">
        <x:v>FAST PROTOTYPE</x:v>
      </x:c>
      <x:c r="O59" s="64" t="str">
        <x:v>Undecided</x:v>
      </x:c>
      <x:c r="P59" s="65" t="str"/>
    </x:row>
    <x:row r="60" ht="66" customHeight="1">
      <x:c r="A60" s="60" t="str">
        <x:v>DOS-054</x:v>
      </x:c>
      <x:c r="B60" s="37" t="str">
        <x:v>Insurance Reinvention Concepts</x:v>
      </x:c>
      <x:c r="C60" s="37" t="str">
        <x:v>Research / service ventures</x:v>
      </x:c>
      <x:c r="D60" s="37" t="str">
        <x:v>Insurance research, validation, and reputable web presence</x:v>
      </x:c>
      <x:c r="E60" s="37" t="str">
        <x:v>Supporting website / research route</x:v>
      </x:c>
      <x:c r="F60" s="45" t="str">
        <x:v>Needs Definition</x:v>
      </x:c>
      <x:c r="G60" s="37" t="str">
        <x:v>Source: VENTURE211:196–197</x:v>
      </x:c>
      <x:c r="H60" s="37" t="str">
        <x:v>VENTURE211:196/197</x:v>
      </x:c>
      <x:c r="I60" s="37" t="str">
        <x:v>New Insurance and Travel Insurance concepts with unrecovered mechanics.</x:v>
      </x:c>
      <x:c r="J60" s="37" t="str">
        <x:v>Recover exact premise, regulated role, target user, legal boundaries, offer/landing validation.</x:v>
      </x:c>
      <x:c r="K60" s="37" t="str">
        <x:v>Do research/landing pages only; do not build policy/claims software yet.</x:v>
      </x:c>
      <x:c r="L60" s="37" t="str">
        <x:v>Quote tools, partner marketplaces, customer portal if viable.</x:v>
      </x:c>
      <x:c r="M60" s="37" t="str">
        <x:v>Unknown pending definition/legal model.</x:v>
      </x:c>
      <x:c r="N60" s="37" t="str">
        <x:v>DETAILS UNRESOLVED</x:v>
      </x:c>
      <x:c r="O60" s="64" t="str">
        <x:v>Undecided</x:v>
      </x:c>
      <x:c r="P60" s="65" t="str"/>
    </x:row>
    <x:row r="61" ht="66" customHeight="1">
      <x:c r="A61" s="60" t="str">
        <x:v>DOS-055</x:v>
      </x:c>
      <x:c r="B61" s="37" t="str">
        <x:v>Movie / TV Pitch Development Slate</x:v>
      </x:c>
      <x:c r="C61" s="37" t="str">
        <x:v>Media venture</x:v>
      </x:c>
      <x:c r="D61" s="37" t="str">
        <x:v>Pitch-development and portfolio website</x:v>
      </x:c>
      <x:c r="E61" s="37" t="str">
        <x:v>Supporting website / credibility route</x:v>
      </x:c>
      <x:c r="F61" s="45" t="str">
        <x:v>Needs Definition</x:v>
      </x:c>
      <x:c r="G61" s="37" t="str">
        <x:v>Source: VENTURE211:207</x:v>
      </x:c>
      <x:c r="H61" s="37" t="str">
        <x:v>VENTURE211:207</x:v>
      </x:c>
      <x:c r="I61" s="37" t="str">
        <x:v>Ongoing film/show concept-development slate; individual story premises not yet recovered.</x:v>
      </x:c>
      <x:c r="J61" s="37" t="str">
        <x:v>Private idea vault, pitch template, proof-of-concept pages, rights/notes, selected public portfolio.</x:v>
      </x:c>
      <x:c r="K61" s="37" t="str">
        <x:v>Preserve/recover premises before building a public discovery or production platform.</x:v>
      </x:c>
      <x:c r="L61" s="37" t="str">
        <x:v>Creator collaborations, pitch marketplace, production pipeline.</x:v>
      </x:c>
      <x:c r="M61" s="37" t="str">
        <x:v>Pitch services / IP development.</x:v>
      </x:c>
      <x:c r="N61" s="37" t="str">
        <x:v>SEED</x:v>
      </x:c>
      <x:c r="O61" s="64" t="str">
        <x:v>Undecided</x:v>
      </x:c>
      <x:c r="P61" s="65" t="str"/>
    </x:row>
    <x:row r="62" ht="66" customHeight="1">
      <x:c r="A62" s="60" t="str">
        <x:v>DOS-056</x:v>
      </x:c>
      <x:c r="B62" s="37" t="str">
        <x:v>Balanced Party</x:v>
      </x:c>
      <x:c r="C62" s="37" t="str">
        <x:v>Civic/business seed</x:v>
      </x:c>
      <x:c r="D62" s="37" t="str">
        <x:v>Civic/business concept with future website route</x:v>
      </x:c>
      <x:c r="E62" s="37" t="str">
        <x:v>Supporting website / research route</x:v>
      </x:c>
      <x:c r="F62" s="45" t="str">
        <x:v>Needs Definition</x:v>
      </x:c>
      <x:c r="G62" s="37" t="str">
        <x:v>Source: VENTURE211:198</x:v>
      </x:c>
      <x:c r="H62" s="37" t="str">
        <x:v>VENTURE211:198</x:v>
      </x:c>
      <x:c r="I62" s="37" t="str">
        <x:v>Known named civic/business idea with details unresolved.</x:v>
      </x:c>
      <x:c r="J62" s="37" t="str">
        <x:v>Recover premise, intended users, ethical boundaries, product/service form, and first validation test.</x:v>
      </x:c>
      <x:c r="K62" s="37" t="str">
        <x:v>Do not compare builders beyond a simple research/landing route until premise exists.</x:v>
      </x:c>
      <x:c r="L62" s="37" t="str">
        <x:v>Platform/site/service depending recovered scope.</x:v>
      </x:c>
      <x:c r="M62" s="37" t="str">
        <x:v>Unknown pending definition.</x:v>
      </x:c>
      <x:c r="N62" s="37" t="str">
        <x:v>DETAILS UNRESOLVED</x:v>
      </x:c>
      <x:c r="O62" s="64" t="str">
        <x:v>Undecided</x:v>
      </x:c>
      <x:c r="P62" s="65" t="str"/>
    </x:row>
    <x:row r="63" ht="66" customHeight="1">
      <x:c r="A63" s="60" t="str">
        <x:v>DOS-057</x:v>
      </x:c>
      <x:c r="B63" s="37" t="str">
        <x:v>Domain Investment &amp; Marketplace Research</x:v>
      </x:c>
      <x:c r="C63" s="37" t="str">
        <x:v>Research venture</x:v>
      </x:c>
      <x:c r="D63" s="37" t="str">
        <x:v>Domain/platform research and credibility site</x:v>
      </x:c>
      <x:c r="E63" s="37" t="str">
        <x:v>Supporting website / research route</x:v>
      </x:c>
      <x:c r="F63" s="45" t="str">
        <x:v>Needs Definition</x:v>
      </x:c>
      <x:c r="G63" s="37" t="str">
        <x:v>Registry research items ZAF-0512–0514</x:v>
      </x:c>
      <x:c r="H63" s="37" t="str">
        <x:v>ZAF-0512</x:v>
      </x:c>
      <x:c r="I63" s="37" t="str">
        <x:v>Research into domain-backed crypto, investment/reserve systems, or alternative domain marketplaces.</x:v>
      </x:c>
      <x:c r="J63" s="37" t="str">
        <x:v>Clarify legal/technical model, market, trust/ownership risks, and simple informational/validation site.</x:v>
      </x:c>
      <x:c r="K63" s="37" t="str">
        <x:v>Research and concept validation only; defer financial platform build.</x:v>
      </x:c>
      <x:c r="L63" s="37" t="str">
        <x:v>Marketplace, reserve system, domain services.</x:v>
      </x:c>
      <x:c r="M63" s="37" t="str">
        <x:v>Unknown pending model and legal review.</x:v>
      </x:c>
      <x:c r="N63" s="37" t="str">
        <x:v>NEEDS RESEARCH</x:v>
      </x:c>
      <x:c r="O63" s="64" t="str">
        <x:v>Undecided</x:v>
      </x:c>
      <x:c r="P63" s="65" t="str"/>
    </x:row>
    <x:row r="64" ht="66" customHeight="1">
      <x:c r="A64" s="61" t="str">
        <x:v>DOS-058</x:v>
      </x:c>
      <x:c r="B64" s="40" t="str">
        <x:v>ZAF Brand, Namespace &amp; Visual Standards</x:v>
      </x:c>
      <x:c r="C64" s="40" t="str">
        <x:v>ZAF brand</x:v>
      </x:c>
      <x:c r="D64" s="40" t="str">
        <x:v>Brand system + public standards/asset hub</x:v>
      </x:c>
      <x:c r="E64" s="40" t="str">
        <x:v>Supporting website / credibility route</x:v>
      </x:c>
      <x:c r="F64" s="47" t="str">
        <x:v>Expansion</x:v>
      </x:c>
      <x:c r="G64" s="40" t="str">
        <x:v>Source: VENTURE211:164–165; ZAF brand doctrine</x:v>
      </x:c>
      <x:c r="H64" s="40" t="str">
        <x:v>ZAF-0520</x:v>
      </x:c>
      <x:c r="I64" s="40" t="str">
        <x:v>Corporate/visual standards, namespace culture, `.rocks` prestige system, linguistic and glyph identity.</x:v>
      </x:c>
      <x:c r="J64" s="40" t="str">
        <x:v>Brand kit, visual/color standards, public/internally scoped brand asset hub, examples, domain rules.</x:v>
      </x:c>
      <x:c r="K64" s="40" t="str">
        <x:v>Start static standards and reusable assets; defer interactive culture world.</x:v>
      </x:c>
      <x:c r="L64" s="40" t="str">
        <x:v>Zaffie mythology, Unicode universe, creator identity system.</x:v>
      </x:c>
      <x:c r="M64" s="40" t="str">
        <x:v>Brand leverage, premium identity/domain offers.</x:v>
      </x:c>
      <x:c r="N64" s="40" t="str">
        <x:v>ACTIVE FOUNDATION</x:v>
      </x:c>
      <x:c r="O64" s="66" t="str">
        <x:v>Undecided</x:v>
      </x:c>
      <x:c r="P64" s="67" t="str"/>
    </x:row>
  </x:sheetData>
  <x:mergeCells>
    <x:mergeCell ref="A1:P1"/>
    <x:mergeCell ref="A2:P2"/>
  </x:mergeCells>
  <x:dataValidations count="1">
    <x:dataValidation type="list" sqref="O7:O64">
      <x:formula1>"Undecided,Build First,Test First,Build Later,Parked,Archive,Needs Definition"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34fba7b2d9a48b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4" hidden="0" customWidth="1"/>
    <x:col min="3" max="3" width="14" hidden="0" customWidth="1"/>
    <x:col min="4" max="4" width="34" hidden="0" customWidth="1"/>
    <x:col min="5" max="5" width="16" hidden="0" customWidth="1"/>
    <x:col min="6" max="6" width="26" hidden="0" customWidth="1"/>
    <x:col min="7" max="7" width="72" hidden="0" customWidth="1"/>
    <x:col min="8" max="8" width="70" hidden="0" customWidth="1"/>
  </x:cols>
  <x:sheetData>
    <x:row r="1" ht="30" customHeight="1">
      <x:c r="A1" s="4" t="str">
        <x:v>REQUIREMENT MAP — PROJECT DEMAND IN CENSUS FAM IDS</x:v>
      </x:c>
    </x:row>
    <x:row r="2" ht="28" customHeight="1">
      <x:c r="A2" s="8" t="str">
        <x:v>Must = strict-route elimination candidate. Important = scored. Expansion = deferred, never allowed to kill an MVP route.</x:v>
      </x:c>
    </x:row>
    <x:row r="6">
      <x:c r="A6" s="14" t="str">
        <x:v>Dossier Project ID</x:v>
      </x:c>
      <x:c r="B6" s="14" t="str">
        <x:v>Project</x:v>
      </x:c>
      <x:c r="C6" s="14" t="str">
        <x:v>Family ID</x:v>
      </x:c>
      <x:c r="D6" s="14" t="str">
        <x:v>Capability Family</x:v>
      </x:c>
      <x:c r="E6" s="14" t="str">
        <x:v>Requirement Level</x:v>
      </x:c>
      <x:c r="F6" s="14" t="str">
        <x:v>Census Treatment</x:v>
      </x:c>
      <x:c r="G6" s="14" t="str">
        <x:v>Why This Project Needs It</x:v>
      </x:c>
      <x:c r="H6" s="14" t="str">
        <x:v>Source / Scope Note</x:v>
      </x:c>
    </x:row>
    <x:row r="7" ht="48" customHeight="1">
      <x:c r="A7" s="59" t="str">
        <x:v>DOS-001</x:v>
      </x:c>
      <x:c r="B7" s="34" t="str">
        <x:v>KaraokeDokie — Phase 1</x:v>
      </x:c>
      <x:c r="C7" s="34" t="str">
        <x:v>FAM-01</x:v>
      </x:c>
      <x:c r="D7" s="34" t="str">
        <x:v>Responsive web / PWA interface</x:v>
      </x:c>
      <x:c r="E7" s="34" t="str">
        <x:v>Must</x:v>
      </x:c>
      <x:c r="F7" s="34" t="str">
        <x:v>Strict-route gate</x:v>
      </x:c>
      <x:c r="G7" s="34" t="str">
        <x:v>KaraokeDokie — Phase 1: Mobile-first responsive screens and app-like web navigation.</x:v>
      </x:c>
      <x:c r="H7" s="35" t="str">
        <x:v>Song lock, SongDNA, three creative directions, cover art, 12-image story, timing/export guide, publishing pack.</x:v>
      </x:c>
    </x:row>
    <x:row r="8" ht="48" customHeight="1">
      <x:c r="A8" s="60" t="str">
        <x:v>DOS-001</x:v>
      </x:c>
      <x:c r="B8" s="37" t="str">
        <x:v>KaraokeDokie — Phase 1</x:v>
      </x:c>
      <x:c r="C8" s="37" t="str">
        <x:v>FAM-05</x:v>
      </x:c>
      <x:c r="D8" s="37" t="str">
        <x:v>Structured database &amp; persistent records</x:v>
      </x:c>
      <x:c r="E8" s="37" t="str">
        <x:v>Must</x:v>
      </x:c>
      <x:c r="F8" s="37" t="str">
        <x:v>Strict-route gate</x:v>
      </x:c>
      <x:c r="G8" s="37" t="str">
        <x:v>KaraokeDokie — Phase 1: Reliable structured data storage, retrieval, and updates.</x:v>
      </x:c>
      <x:c r="H8" s="38" t="str">
        <x:v>Song lock, SongDNA, three creative directions, cover art, 12-image story, timing/export guide, publishing pack.</x:v>
      </x:c>
    </x:row>
    <x:row r="9" ht="48" customHeight="1">
      <x:c r="A9" s="60" t="str">
        <x:v>DOS-001</x:v>
      </x:c>
      <x:c r="B9" s="37" t="str">
        <x:v>KaraokeDokie — Phase 1</x:v>
      </x:c>
      <x:c r="C9" s="37" t="str">
        <x:v>FAM-08</x:v>
      </x:c>
      <x:c r="D9" s="37" t="str">
        <x:v>Image generation &amp; visual workflow</x:v>
      </x:c>
      <x:c r="E9" s="37" t="str">
        <x:v>Must</x:v>
      </x:c>
      <x:c r="F9" s="37" t="str">
        <x:v>Strict-route gate</x:v>
      </x:c>
      <x:c r="G9" s="37" t="str">
        <x:v>KaraokeDokie — Phase 1: Image creation or intake, visual consistency, thumbnails, variants, and review.</x:v>
      </x:c>
      <x:c r="H9" s="38" t="str">
        <x:v>Song lock, SongDNA, three creative directions, cover art, 12-image story, timing/export guide, publishing pack.</x:v>
      </x:c>
    </x:row>
    <x:row r="10" ht="48" customHeight="1">
      <x:c r="A10" s="60" t="str">
        <x:v>DOS-001</x:v>
      </x:c>
      <x:c r="B10" s="37" t="str">
        <x:v>KaraokeDokie — Phase 1</x:v>
      </x:c>
      <x:c r="C10" s="37" t="str">
        <x:v>FAM-12</x:v>
      </x:c>
      <x:c r="D10" s="37" t="str">
        <x:v>AI text generation, analysis &amp; agents</x:v>
      </x:c>
      <x:c r="E10" s="37" t="str">
        <x:v>Must</x:v>
      </x:c>
      <x:c r="F10" s="37" t="str">
        <x:v>Strict-route gate</x:v>
      </x:c>
      <x:c r="G10" s="37" t="str">
        <x:v>KaraokeDokie — Phase 1: Prompted generation, classification, summarization, reasoning, or assistant behavior.</x:v>
      </x:c>
      <x:c r="H10" s="38" t="str">
        <x:v>Song lock, SongDNA, three creative directions, cover art, 12-image story, timing/export guide, publishing pack.</x:v>
      </x:c>
    </x:row>
    <x:row r="11" ht="48" customHeight="1">
      <x:c r="A11" s="60" t="str">
        <x:v>DOS-001</x:v>
      </x:c>
      <x:c r="B11" s="37" t="str">
        <x:v>KaraokeDokie — Phase 1</x:v>
      </x:c>
      <x:c r="C11" s="37" t="str">
        <x:v>FAM-23</x:v>
      </x:c>
      <x:c r="D11" s="37" t="str">
        <x:v>Public website, SEO &amp; domain control</x:v>
      </x:c>
      <x:c r="E11" s="37" t="str">
        <x:v>Must</x:v>
      </x:c>
      <x:c r="F11" s="37" t="str">
        <x:v>Strict-route gate</x:v>
      </x:c>
      <x:c r="G11" s="37" t="str">
        <x:v>KaraokeDokie — Phase 1: Public pages, discoverability, custom domain, shareability, and search metadata.</x:v>
      </x:c>
      <x:c r="H11" s="38" t="str">
        <x:v>Song lock, SongDNA, three creative directions, cover art, 12-image story, timing/export guide, publishing pack.</x:v>
      </x:c>
    </x:row>
    <x:row r="12" ht="48" customHeight="1">
      <x:c r="A12" s="60" t="str">
        <x:v>DOS-001</x:v>
      </x:c>
      <x:c r="B12" s="37" t="str">
        <x:v>KaraokeDokie — Phase 1</x:v>
      </x:c>
      <x:c r="C12" s="37" t="str">
        <x:v>FAM-24</x:v>
      </x:c>
      <x:c r="D12" s="37" t="str">
        <x:v>Export, publishing &amp; share routes</x:v>
      </x:c>
      <x:c r="E12" s="37" t="str">
        <x:v>Must</x:v>
      </x:c>
      <x:c r="F12" s="37" t="str">
        <x:v>Strict-route gate</x:v>
      </x:c>
      <x:c r="G12" s="37" t="str">
        <x:v>KaraokeDokie — Phase 1: Download/export, social publishing, share links, and portable output packages.</x:v>
      </x:c>
      <x:c r="H12" s="38" t="str">
        <x:v>Song lock, SongDNA, three creative directions, cover art, 12-image story, timing/export guide, publishing pack.</x:v>
      </x:c>
    </x:row>
    <x:row r="13" ht="48" customHeight="1">
      <x:c r="A13" s="60" t="str">
        <x:v>DOS-001</x:v>
      </x:c>
      <x:c r="B13" s="37" t="str">
        <x:v>KaraokeDokie — Phase 1</x:v>
      </x:c>
      <x:c r="C13" s="37" t="str">
        <x:v>FAM-02</x:v>
      </x:c>
      <x:c r="D13" s="37" t="str">
        <x:v>Android/mobile builder workability</x:v>
      </x:c>
      <x:c r="E13" s="37" t="str">
        <x:v>Important</x:v>
      </x:c>
      <x:c r="F13" s="37" t="str">
        <x:v>Score after gates</x:v>
      </x:c>
      <x:c r="G13" s="37" t="str">
        <x:v>KaraokeDokie — Phase 1: Derek can build, edit, preview, test, and deploy with reasonable Android/mobile friction.</x:v>
      </x:c>
      <x:c r="H13" s="38" t="str">
        <x:v>Start title-only with no audio upload, minimal account/history, and one export package.</x:v>
      </x:c>
    </x:row>
    <x:row r="14" ht="48" customHeight="1">
      <x:c r="A14" s="60" t="str">
        <x:v>DOS-001</x:v>
      </x:c>
      <x:c r="B14" s="37" t="str">
        <x:v>KaraokeDokie — Phase 1</x:v>
      </x:c>
      <x:c r="C14" s="37" t="str">
        <x:v>FAM-03</x:v>
      </x:c>
      <x:c r="D14" s="37" t="str">
        <x:v>Authentication, identity &amp; roles</x:v>
      </x:c>
      <x:c r="E14" s="37" t="str">
        <x:v>Important</x:v>
      </x:c>
      <x:c r="F14" s="37" t="str">
        <x:v>Score after gates</x:v>
      </x:c>
      <x:c r="G14" s="37" t="str">
        <x:v>KaraokeDokie — Phase 1: Sign-in, role-aware access, member identity, and permissions.</x:v>
      </x:c>
      <x:c r="H14" s="38" t="str">
        <x:v>Start title-only with no audio upload, minimal account/history, and one export package.</x:v>
      </x:c>
    </x:row>
    <x:row r="15" ht="48" customHeight="1">
      <x:c r="A15" s="60" t="str">
        <x:v>DOS-001</x:v>
      </x:c>
      <x:c r="B15" s="37" t="str">
        <x:v>KaraokeDokie — Phase 1</x:v>
      </x:c>
      <x:c r="C15" s="37" t="str">
        <x:v>FAM-07</x:v>
      </x:c>
      <x:c r="D15" s="37" t="str">
        <x:v>File intake, storage &amp; lifecycle</x:v>
      </x:c>
      <x:c r="E15" s="37" t="str">
        <x:v>Important</x:v>
      </x:c>
      <x:c r="F15" s="37" t="str">
        <x:v>Score after gates</x:v>
      </x:c>
      <x:c r="G15" s="37" t="str">
        <x:v>KaraokeDokie — Phase 1: Upload/import, validation, storage, retention, and file-size handling.</x:v>
      </x:c>
      <x:c r="H15" s="38" t="str">
        <x:v>Start title-only with no audio upload, minimal account/history, and one export package.</x:v>
      </x:c>
    </x:row>
    <x:row r="16" ht="48" customHeight="1">
      <x:c r="A16" s="60" t="str">
        <x:v>DOS-001</x:v>
      </x:c>
      <x:c r="B16" s="37" t="str">
        <x:v>KaraokeDokie — Phase 1</x:v>
      </x:c>
      <x:c r="C16" s="37" t="str">
        <x:v>FAM-14</x:v>
      </x:c>
      <x:c r="D16" s="37" t="str">
        <x:v>Personalization, memory &amp; preferences</x:v>
      </x:c>
      <x:c r="E16" s="37" t="str">
        <x:v>Important</x:v>
      </x:c>
      <x:c r="F16" s="37" t="str">
        <x:v>Score after gates</x:v>
      </x:c>
      <x:c r="G16" s="37" t="str">
        <x:v>KaraokeDokie — Phase 1: Saved preferences, history, source memory, and adaptive outputs.</x:v>
      </x:c>
      <x:c r="H16" s="38" t="str">
        <x:v>Start title-only with no audio upload, minimal account/history, and one export package.</x:v>
      </x:c>
    </x:row>
    <x:row r="17" ht="48" customHeight="1">
      <x:c r="A17" s="60" t="str">
        <x:v>DOS-001</x:v>
      </x:c>
      <x:c r="B17" s="37" t="str">
        <x:v>KaraokeDokie — Phase 1</x:v>
      </x:c>
      <x:c r="C17" s="37" t="str">
        <x:v>FAM-25</x:v>
      </x:c>
      <x:c r="D17" s="37" t="str">
        <x:v>Analytics, reporting &amp; decision dashboards</x:v>
      </x:c>
      <x:c r="E17" s="37" t="str">
        <x:v>Important</x:v>
      </x:c>
      <x:c r="F17" s="37" t="str">
        <x:v>Score after gates</x:v>
      </x:c>
      <x:c r="G17" s="37" t="str">
        <x:v>KaraokeDokie — Phase 1: Usage metrics, charts, rankings, reporting, and decision support.</x:v>
      </x:c>
      <x:c r="H17" s="38" t="str">
        <x:v>Start title-only with no audio upload, minimal account/history, and one export package.</x:v>
      </x:c>
    </x:row>
    <x:row r="18" ht="48" customHeight="1">
      <x:c r="A18" s="60" t="str">
        <x:v>DOS-001</x:v>
      </x:c>
      <x:c r="B18" s="37" t="str">
        <x:v>KaraokeDokie — Phase 1</x:v>
      </x:c>
      <x:c r="C18" s="37" t="str">
        <x:v>FAM-27</x:v>
      </x:c>
      <x:c r="D18" s="37" t="str">
        <x:v>Portability, ownership &amp; escape path</x:v>
      </x:c>
      <x:c r="E18" s="37" t="str">
        <x:v>Important</x:v>
      </x:c>
      <x:c r="F18" s="37" t="str">
        <x:v>Score after gates</x:v>
      </x:c>
      <x:c r="G18" s="37" t="str">
        <x:v>KaraokeDokie — Phase 1: Code/data export, GitHub, custom domains, migration, and lock-in control.</x:v>
      </x:c>
      <x:c r="H18" s="38" t="str">
        <x:v>Start title-only with no audio upload, minimal account/history, and one export package.</x:v>
      </x:c>
    </x:row>
    <x:row r="19" ht="48" customHeight="1">
      <x:c r="A19" s="60" t="str">
        <x:v>DOS-001</x:v>
      </x:c>
      <x:c r="B19" s="37" t="str">
        <x:v>KaraokeDokie — Phase 1</x:v>
      </x:c>
      <x:c r="C19" s="37" t="str">
        <x:v>FAM-09</x:v>
      </x:c>
      <x:c r="D19" s="37" t="str">
        <x:v>Audio workflow &amp; processing</x:v>
      </x:c>
      <x:c r="E19" s="37" t="str">
        <x:v>Expansion</x:v>
      </x:c>
      <x:c r="F19" s="37" t="str">
        <x:v>Flexible / later only</x:v>
      </x:c>
      <x:c r="G19" s="37" t="str">
        <x:v>KaraokeDokie — Phase 1: Audio playback, upload, timing, analysis, DSP, remastering, and export.</x:v>
      </x:c>
      <x:c r="H19" s="38" t="str">
        <x:v>Optional personal inputs; performer insertion; dedications; market/premium packs; later media intelligence.</x:v>
      </x:c>
    </x:row>
    <x:row r="20" ht="48" customHeight="1">
      <x:c r="A20" s="60" t="str">
        <x:v>DOS-001</x:v>
      </x:c>
      <x:c r="B20" s="37" t="str">
        <x:v>KaraokeDokie — Phase 1</x:v>
      </x:c>
      <x:c r="C20" s="37" t="str">
        <x:v>FAM-10</x:v>
      </x:c>
      <x:c r="D20" s="37" t="str">
        <x:v>Video, reels &amp; slideshow workflow</x:v>
      </x:c>
      <x:c r="E20" s="37" t="str">
        <x:v>Expansion</x:v>
      </x:c>
      <x:c r="F20" s="37" t="str">
        <x:v>Flexible / later only</x:v>
      </x:c>
      <x:c r="G20" s="37" t="str">
        <x:v>KaraokeDokie — Phase 1: Video playback/upload, timed slideshows, reels, rendering, and video export.</x:v>
      </x:c>
      <x:c r="H20" s="38" t="str">
        <x:v>Optional personal inputs; performer insertion; dedications; market/premium packs; later media intelligence.</x:v>
      </x:c>
    </x:row>
    <x:row r="21" ht="48" customHeight="1">
      <x:c r="A21" s="60" t="str">
        <x:v>DOS-001</x:v>
      </x:c>
      <x:c r="B21" s="37" t="str">
        <x:v>KaraokeDokie — Phase 1</x:v>
      </x:c>
      <x:c r="C21" s="37" t="str">
        <x:v>FAM-11</x:v>
      </x:c>
      <x:c r="D21" s="37" t="str">
        <x:v>Multimodal AI analysis</x:v>
      </x:c>
      <x:c r="E21" s="37" t="str">
        <x:v>Expansion</x:v>
      </x:c>
      <x:c r="F21" s="37" t="str">
        <x:v>Flexible / later only</x:v>
      </x:c>
      <x:c r="G21" s="37" t="str">
        <x:v>KaraokeDokie — Phase 1: AI can analyze image/audio/video inputs with usable confidence and controls.</x:v>
      </x:c>
      <x:c r="H21" s="38" t="str">
        <x:v>Optional personal inputs; performer insertion; dedications; market/premium packs; later media intelligence.</x:v>
      </x:c>
    </x:row>
    <x:row r="22" ht="48" customHeight="1">
      <x:c r="A22" s="60" t="str">
        <x:v>DOS-001</x:v>
      </x:c>
      <x:c r="B22" s="37" t="str">
        <x:v>KaraokeDokie — Phase 1</x:v>
      </x:c>
      <x:c r="C22" s="37" t="str">
        <x:v>FAM-17</x:v>
      </x:c>
      <x:c r="D22" s="37" t="str">
        <x:v>Payments, subscriptions &amp; billing</x:v>
      </x:c>
      <x:c r="E22" s="37" t="str">
        <x:v>Expansion</x:v>
      </x:c>
      <x:c r="F22" s="37" t="str">
        <x:v>Flexible / later only</x:v>
      </x:c>
      <x:c r="G22" s="37" t="str">
        <x:v>KaraokeDokie — Phase 1: Payments, subscriptions, checkout, entitlements, and billing-aware workflows.</x:v>
      </x:c>
      <x:c r="H22" s="38" t="str">
        <x:v>Optional personal inputs; performer insertion; dedications; market/premium packs; later media intelligence.</x:v>
      </x:c>
    </x:row>
    <x:row r="23" ht="48" customHeight="1">
      <x:c r="A23" s="60" t="str">
        <x:v>DOS-001</x:v>
      </x:c>
      <x:c r="B23" s="37" t="str">
        <x:v>KaraokeDokie — Phase 1</x:v>
      </x:c>
      <x:c r="C23" s="37" t="str">
        <x:v>FAM-19</x:v>
      </x:c>
      <x:c r="D23" s="37" t="str">
        <x:v>Rewards, badges &amp; entitlements</x:v>
      </x:c>
      <x:c r="E23" s="37" t="str">
        <x:v>Expansion</x:v>
      </x:c>
      <x:c r="F23" s="37" t="str">
        <x:v>Flexible / later only</x:v>
      </x:c>
      <x:c r="G23" s="37" t="str">
        <x:v>KaraokeDokie — Phase 1: Loyalty, roles, rewards, badges, credits, and access logic.</x:v>
      </x:c>
      <x:c r="H23" s="38" t="str">
        <x:v>Optional personal inputs; performer insertion; dedications; market/premium packs; later media intelligence.</x:v>
      </x:c>
    </x:row>
    <x:row r="24" ht="48" customHeight="1">
      <x:c r="A24" s="60" t="str">
        <x:v>DOS-002</x:v>
      </x:c>
      <x:c r="B24" s="37" t="str">
        <x:v>KaraokeDokie — Media Intelligence &amp; Phase 2</x:v>
      </x:c>
      <x:c r="C24" s="37" t="str">
        <x:v>FAM-01</x:v>
      </x:c>
      <x:c r="D24" s="37" t="str">
        <x:v>Responsive web / PWA interface</x:v>
      </x:c>
      <x:c r="E24" s="37" t="str">
        <x:v>Must</x:v>
      </x:c>
      <x:c r="F24" s="37" t="str">
        <x:v>Strict-route gate</x:v>
      </x:c>
      <x:c r="G24" s="37" t="str">
        <x:v>KaraokeDokie — Media Intelligence &amp; Phase 2: Mobile-first responsive screens and app-like web navigation.</x:v>
      </x:c>
      <x:c r="H24" s="38" t="str">
        <x:v>MP3/MP4 intake, critique, rating, timestamped fixes, visual auto-sync, highlight extraction, safe export.</x:v>
      </x:c>
    </x:row>
    <x:row r="25" ht="48" customHeight="1">
      <x:c r="A25" s="60" t="str">
        <x:v>DOS-002</x:v>
      </x:c>
      <x:c r="B25" s="37" t="str">
        <x:v>KaraokeDokie — Media Intelligence &amp; Phase 2</x:v>
      </x:c>
      <x:c r="C25" s="37" t="str">
        <x:v>FAM-05</x:v>
      </x:c>
      <x:c r="D25" s="37" t="str">
        <x:v>Structured database &amp; persistent records</x:v>
      </x:c>
      <x:c r="E25" s="37" t="str">
        <x:v>Must</x:v>
      </x:c>
      <x:c r="F25" s="37" t="str">
        <x:v>Strict-route gate</x:v>
      </x:c>
      <x:c r="G25" s="37" t="str">
        <x:v>KaraokeDokie — Media Intelligence &amp; Phase 2: Reliable structured data storage, retrieval, and updates.</x:v>
      </x:c>
      <x:c r="H25" s="38" t="str">
        <x:v>MP3/MP4 intake, critique, rating, timestamped fixes, visual auto-sync, highlight extraction, safe export.</x:v>
      </x:c>
    </x:row>
    <x:row r="26" ht="48" customHeight="1">
      <x:c r="A26" s="60" t="str">
        <x:v>DOS-002</x:v>
      </x:c>
      <x:c r="B26" s="37" t="str">
        <x:v>KaraokeDokie — Media Intelligence &amp; Phase 2</x:v>
      </x:c>
      <x:c r="C26" s="37" t="str">
        <x:v>FAM-07</x:v>
      </x:c>
      <x:c r="D26" s="37" t="str">
        <x:v>File intake, storage &amp; lifecycle</x:v>
      </x:c>
      <x:c r="E26" s="37" t="str">
        <x:v>Must</x:v>
      </x:c>
      <x:c r="F26" s="37" t="str">
        <x:v>Strict-route gate</x:v>
      </x:c>
      <x:c r="G26" s="37" t="str">
        <x:v>KaraokeDokie — Media Intelligence &amp; Phase 2: Upload/import, validation, storage, retention, and file-size handling.</x:v>
      </x:c>
      <x:c r="H26" s="38" t="str">
        <x:v>MP3/MP4 intake, critique, rating, timestamped fixes, visual auto-sync, highlight extraction, safe export.</x:v>
      </x:c>
    </x:row>
    <x:row r="27" ht="48" customHeight="1">
      <x:c r="A27" s="60" t="str">
        <x:v>DOS-002</x:v>
      </x:c>
      <x:c r="B27" s="37" t="str">
        <x:v>KaraokeDokie — Media Intelligence &amp; Phase 2</x:v>
      </x:c>
      <x:c r="C27" s="37" t="str">
        <x:v>FAM-09</x:v>
      </x:c>
      <x:c r="D27" s="37" t="str">
        <x:v>Audio workflow &amp; processing</x:v>
      </x:c>
      <x:c r="E27" s="37" t="str">
        <x:v>Must</x:v>
      </x:c>
      <x:c r="F27" s="37" t="str">
        <x:v>Strict-route gate</x:v>
      </x:c>
      <x:c r="G27" s="37" t="str">
        <x:v>KaraokeDokie — Media Intelligence &amp; Phase 2: Audio playback, upload, timing, analysis, DSP, remastering, and export.</x:v>
      </x:c>
      <x:c r="H27" s="38" t="str">
        <x:v>MP3/MP4 intake, critique, rating, timestamped fixes, visual auto-sync, highlight extraction, safe export.</x:v>
      </x:c>
    </x:row>
    <x:row r="28" ht="48" customHeight="1">
      <x:c r="A28" s="60" t="str">
        <x:v>DOS-002</x:v>
      </x:c>
      <x:c r="B28" s="37" t="str">
        <x:v>KaraokeDokie — Media Intelligence &amp; Phase 2</x:v>
      </x:c>
      <x:c r="C28" s="37" t="str">
        <x:v>FAM-10</x:v>
      </x:c>
      <x:c r="D28" s="37" t="str">
        <x:v>Video, reels &amp; slideshow workflow</x:v>
      </x:c>
      <x:c r="E28" s="37" t="str">
        <x:v>Must</x:v>
      </x:c>
      <x:c r="F28" s="37" t="str">
        <x:v>Strict-route gate</x:v>
      </x:c>
      <x:c r="G28" s="37" t="str">
        <x:v>KaraokeDokie — Media Intelligence &amp; Phase 2: Video playback/upload, timed slideshows, reels, rendering, and video export.</x:v>
      </x:c>
      <x:c r="H28" s="38" t="str">
        <x:v>MP3/MP4 intake, critique, rating, timestamped fixes, visual auto-sync, highlight extraction, safe export.</x:v>
      </x:c>
    </x:row>
    <x:row r="29" ht="48" customHeight="1">
      <x:c r="A29" s="60" t="str">
        <x:v>DOS-002</x:v>
      </x:c>
      <x:c r="B29" s="37" t="str">
        <x:v>KaraokeDokie — Media Intelligence &amp; Phase 2</x:v>
      </x:c>
      <x:c r="C29" s="37" t="str">
        <x:v>FAM-11</x:v>
      </x:c>
      <x:c r="D29" s="37" t="str">
        <x:v>Multimodal AI analysis</x:v>
      </x:c>
      <x:c r="E29" s="37" t="str">
        <x:v>Must</x:v>
      </x:c>
      <x:c r="F29" s="37" t="str">
        <x:v>Strict-route gate</x:v>
      </x:c>
      <x:c r="G29" s="37" t="str">
        <x:v>KaraokeDokie — Media Intelligence &amp; Phase 2: AI can analyze image/audio/video inputs with usable confidence and controls.</x:v>
      </x:c>
      <x:c r="H29" s="38" t="str">
        <x:v>MP3/MP4 intake, critique, rating, timestamped fixes, visual auto-sync, highlight extraction, safe export.</x:v>
      </x:c>
    </x:row>
    <x:row r="30" ht="48" customHeight="1">
      <x:c r="A30" s="60" t="str">
        <x:v>DOS-002</x:v>
      </x:c>
      <x:c r="B30" s="37" t="str">
        <x:v>KaraokeDokie — Media Intelligence &amp; Phase 2</x:v>
      </x:c>
      <x:c r="C30" s="37" t="str">
        <x:v>FAM-23</x:v>
      </x:c>
      <x:c r="D30" s="37" t="str">
        <x:v>Public website, SEO &amp; domain control</x:v>
      </x:c>
      <x:c r="E30" s="37" t="str">
        <x:v>Must</x:v>
      </x:c>
      <x:c r="F30" s="37" t="str">
        <x:v>Strict-route gate</x:v>
      </x:c>
      <x:c r="G30" s="37" t="str">
        <x:v>KaraokeDokie — Media Intelligence &amp; Phase 2: Public pages, discoverability, custom domain, shareability, and search metadata.</x:v>
      </x:c>
      <x:c r="H30" s="38" t="str">
        <x:v>MP3/MP4 intake, critique, rating, timestamped fixes, visual auto-sync, highlight extraction, safe export.</x:v>
      </x:c>
    </x:row>
    <x:row r="31" ht="48" customHeight="1">
      <x:c r="A31" s="60" t="str">
        <x:v>DOS-002</x:v>
      </x:c>
      <x:c r="B31" s="37" t="str">
        <x:v>KaraokeDokie — Media Intelligence &amp; Phase 2</x:v>
      </x:c>
      <x:c r="C31" s="37" t="str">
        <x:v>FAM-24</x:v>
      </x:c>
      <x:c r="D31" s="37" t="str">
        <x:v>Export, publishing &amp; share routes</x:v>
      </x:c>
      <x:c r="E31" s="37" t="str">
        <x:v>Must</x:v>
      </x:c>
      <x:c r="F31" s="37" t="str">
        <x:v>Strict-route gate</x:v>
      </x:c>
      <x:c r="G31" s="37" t="str">
        <x:v>KaraokeDokie — Media Intelligence &amp; Phase 2: Download/export, social publishing, share links, and portable output packages.</x:v>
      </x:c>
      <x:c r="H31" s="38" t="str">
        <x:v>MP3/MP4 intake, critique, rating, timestamped fixes, visual auto-sync, highlight extraction, safe export.</x:v>
      </x:c>
    </x:row>
    <x:row r="32" ht="48" customHeight="1">
      <x:c r="A32" s="60" t="str">
        <x:v>DOS-002</x:v>
      </x:c>
      <x:c r="B32" s="37" t="str">
        <x:v>KaraokeDokie — Media Intelligence &amp; Phase 2</x:v>
      </x:c>
      <x:c r="C32" s="37" t="str">
        <x:v>FAM-29</x:v>
      </x:c>
      <x:c r="D32" s="37" t="str">
        <x:v>Backend functions, APIs &amp; background compute</x:v>
      </x:c>
      <x:c r="E32" s="37" t="str">
        <x:v>Must</x:v>
      </x:c>
      <x:c r="F32" s="37" t="str">
        <x:v>Strict-route gate</x:v>
      </x:c>
      <x:c r="G32" s="37" t="str">
        <x:v>KaraokeDokie — Media Intelligence &amp; Phase 2: Server functions, secure APIs, logs, queues, scheduled tasks, and secrets.</x:v>
      </x:c>
      <x:c r="H32" s="38" t="str">
        <x:v>MP3/MP4 intake, critique, rating, timestamped fixes, visual auto-sync, highlight extraction, safe export.</x:v>
      </x:c>
    </x:row>
    <x:row r="33" ht="48" customHeight="1">
      <x:c r="A33" s="60" t="str">
        <x:v>DOS-002</x:v>
      </x:c>
      <x:c r="B33" s="37" t="str">
        <x:v>KaraokeDokie — Media Intelligence &amp; Phase 2</x:v>
      </x:c>
      <x:c r="C33" s="37" t="str">
        <x:v>FAM-02</x:v>
      </x:c>
      <x:c r="D33" s="37" t="str">
        <x:v>Android/mobile builder workability</x:v>
      </x:c>
      <x:c r="E33" s="37" t="str">
        <x:v>Important</x:v>
      </x:c>
      <x:c r="F33" s="37" t="str">
        <x:v>Score after gates</x:v>
      </x:c>
      <x:c r="G33" s="37" t="str">
        <x:v>KaraokeDokie — Media Intelligence &amp; Phase 2: Derek can build, edit, preview, test, and deploy with reasonable Android/mobile friction.</x:v>
      </x:c>
      <x:c r="H33" s="38" t="str">
        <x:v>Begin with analysis, feedback, and export; defer automated remaster/DSP and advanced music-video rendering.</x:v>
      </x:c>
    </x:row>
    <x:row r="34" ht="48" customHeight="1">
      <x:c r="A34" s="60" t="str">
        <x:v>DOS-002</x:v>
      </x:c>
      <x:c r="B34" s="37" t="str">
        <x:v>KaraokeDokie — Media Intelligence &amp; Phase 2</x:v>
      </x:c>
      <x:c r="C34" s="37" t="str">
        <x:v>FAM-03</x:v>
      </x:c>
      <x:c r="D34" s="37" t="str">
        <x:v>Authentication, identity &amp; roles</x:v>
      </x:c>
      <x:c r="E34" s="37" t="str">
        <x:v>Important</x:v>
      </x:c>
      <x:c r="F34" s="37" t="str">
        <x:v>Score after gates</x:v>
      </x:c>
      <x:c r="G34" s="37" t="str">
        <x:v>KaraokeDokie — Media Intelligence &amp; Phase 2: Sign-in, role-aware access, member identity, and permissions.</x:v>
      </x:c>
      <x:c r="H34" s="38" t="str">
        <x:v>Begin with analysis, feedback, and export; defer automated remaster/DSP and advanced music-video rendering.</x:v>
      </x:c>
    </x:row>
    <x:row r="35" ht="48" customHeight="1">
      <x:c r="A35" s="60" t="str">
        <x:v>DOS-002</x:v>
      </x:c>
      <x:c r="B35" s="37" t="str">
        <x:v>KaraokeDokie — Media Intelligence &amp; Phase 2</x:v>
      </x:c>
      <x:c r="C35" s="37" t="str">
        <x:v>FAM-12</x:v>
      </x:c>
      <x:c r="D35" s="37" t="str">
        <x:v>AI text generation, analysis &amp; agents</x:v>
      </x:c>
      <x:c r="E35" s="37" t="str">
        <x:v>Important</x:v>
      </x:c>
      <x:c r="F35" s="37" t="str">
        <x:v>Score after gates</x:v>
      </x:c>
      <x:c r="G35" s="37" t="str">
        <x:v>KaraokeDokie — Media Intelligence &amp; Phase 2: Prompted generation, classification, summarization, reasoning, or assistant behavior.</x:v>
      </x:c>
      <x:c r="H35" s="38" t="str">
        <x:v>Begin with analysis, feedback, and export; defer automated remaster/DSP and advanced music-video rendering.</x:v>
      </x:c>
    </x:row>
    <x:row r="36" ht="48" customHeight="1">
      <x:c r="A36" s="60" t="str">
        <x:v>DOS-002</x:v>
      </x:c>
      <x:c r="B36" s="37" t="str">
        <x:v>KaraokeDokie — Media Intelligence &amp; Phase 2</x:v>
      </x:c>
      <x:c r="C36" s="37" t="str">
        <x:v>FAM-14</x:v>
      </x:c>
      <x:c r="D36" s="37" t="str">
        <x:v>Personalization, memory &amp; preferences</x:v>
      </x:c>
      <x:c r="E36" s="37" t="str">
        <x:v>Important</x:v>
      </x:c>
      <x:c r="F36" s="37" t="str">
        <x:v>Score after gates</x:v>
      </x:c>
      <x:c r="G36" s="37" t="str">
        <x:v>KaraokeDokie — Media Intelligence &amp; Phase 2: Saved preferences, history, source memory, and adaptive outputs.</x:v>
      </x:c>
      <x:c r="H36" s="38" t="str">
        <x:v>Begin with analysis, feedback, and export; defer automated remaster/DSP and advanced music-video rendering.</x:v>
      </x:c>
    </x:row>
    <x:row r="37" ht="48" customHeight="1">
      <x:c r="A37" s="60" t="str">
        <x:v>DOS-002</x:v>
      </x:c>
      <x:c r="B37" s="37" t="str">
        <x:v>KaraokeDokie — Media Intelligence &amp; Phase 2</x:v>
      </x:c>
      <x:c r="C37" s="37" t="str">
        <x:v>FAM-25</x:v>
      </x:c>
      <x:c r="D37" s="37" t="str">
        <x:v>Analytics, reporting &amp; decision dashboards</x:v>
      </x:c>
      <x:c r="E37" s="37" t="str">
        <x:v>Important</x:v>
      </x:c>
      <x:c r="F37" s="37" t="str">
        <x:v>Score after gates</x:v>
      </x:c>
      <x:c r="G37" s="37" t="str">
        <x:v>KaraokeDokie — Media Intelligence &amp; Phase 2: Usage metrics, charts, rankings, reporting, and decision support.</x:v>
      </x:c>
      <x:c r="H37" s="38" t="str">
        <x:v>Begin with analysis, feedback, and export; defer automated remaster/DSP and advanced music-video rendering.</x:v>
      </x:c>
    </x:row>
    <x:row r="38" ht="48" customHeight="1">
      <x:c r="A38" s="60" t="str">
        <x:v>DOS-002</x:v>
      </x:c>
      <x:c r="B38" s="37" t="str">
        <x:v>KaraokeDokie — Media Intelligence &amp; Phase 2</x:v>
      </x:c>
      <x:c r="C38" s="37" t="str">
        <x:v>FAM-27</x:v>
      </x:c>
      <x:c r="D38" s="37" t="str">
        <x:v>Portability, ownership &amp; escape path</x:v>
      </x:c>
      <x:c r="E38" s="37" t="str">
        <x:v>Important</x:v>
      </x:c>
      <x:c r="F38" s="37" t="str">
        <x:v>Score after gates</x:v>
      </x:c>
      <x:c r="G38" s="37" t="str">
        <x:v>KaraokeDokie — Media Intelligence &amp; Phase 2: Code/data export, GitHub, custom domains, migration, and lock-in control.</x:v>
      </x:c>
      <x:c r="H38" s="38" t="str">
        <x:v>Begin with analysis, feedback, and export; defer automated remaster/DSP and advanced music-video rendering.</x:v>
      </x:c>
    </x:row>
    <x:row r="39" ht="48" customHeight="1">
      <x:c r="A39" s="60" t="str">
        <x:v>DOS-002</x:v>
      </x:c>
      <x:c r="B39" s="37" t="str">
        <x:v>KaraokeDokie — Media Intelligence &amp; Phase 2</x:v>
      </x:c>
      <x:c r="C39" s="37" t="str">
        <x:v>FAM-35</x:v>
      </x:c>
      <x:c r="D39" s="37" t="str">
        <x:v>Privacy, consent &amp; audit trail</x:v>
      </x:c>
      <x:c r="E39" s="37" t="str">
        <x:v>Important</x:v>
      </x:c>
      <x:c r="F39" s="37" t="str">
        <x:v>Score after gates</x:v>
      </x:c>
      <x:c r="G39" s="37" t="str">
        <x:v>KaraokeDokie — Media Intelligence &amp; Phase 2: Consent, retention, access controls, provenance, and auditable actions.</x:v>
      </x:c>
      <x:c r="H39" s="38" t="str">
        <x:v>Begin with analysis, feedback, and export; defer automated remaster/DSP and advanced music-video rendering.</x:v>
      </x:c>
    </x:row>
    <x:row r="40" ht="48" customHeight="1">
      <x:c r="A40" s="60" t="str">
        <x:v>DOS-002</x:v>
      </x:c>
      <x:c r="B40" s="37" t="str">
        <x:v>KaraokeDokie — Media Intelligence &amp; Phase 2</x:v>
      </x:c>
      <x:c r="C40" s="37" t="str">
        <x:v>FAM-15</x:v>
      </x:c>
      <x:c r="D40" s="37" t="str">
        <x:v>Social, realtime &amp; collaboration</x:v>
      </x:c>
      <x:c r="E40" s="37" t="str">
        <x:v>Expansion</x:v>
      </x:c>
      <x:c r="F40" s="37" t="str">
        <x:v>Flexible / later only</x:v>
      </x:c>
      <x:c r="G40" s="37" t="str">
        <x:v>KaraokeDokie — Media Intelligence &amp; Phase 2: Feeds, messaging, groups, sharing, realtime updates, or multi-user creation.</x:v>
      </x:c>
      <x:c r="H40" s="38" t="str">
        <x:v>Remaster studio, vocal fingerprint, best-take compiler, harmony designer, advanced video upgrade.</x:v>
      </x:c>
    </x:row>
    <x:row r="41" ht="48" customHeight="1">
      <x:c r="A41" s="60" t="str">
        <x:v>DOS-002</x:v>
      </x:c>
      <x:c r="B41" s="37" t="str">
        <x:v>KaraokeDokie — Media Intelligence &amp; Phase 2</x:v>
      </x:c>
      <x:c r="C41" s="37" t="str">
        <x:v>FAM-17</x:v>
      </x:c>
      <x:c r="D41" s="37" t="str">
        <x:v>Payments, subscriptions &amp; billing</x:v>
      </x:c>
      <x:c r="E41" s="37" t="str">
        <x:v>Expansion</x:v>
      </x:c>
      <x:c r="F41" s="37" t="str">
        <x:v>Flexible / later only</x:v>
      </x:c>
      <x:c r="G41" s="37" t="str">
        <x:v>KaraokeDokie — Media Intelligence &amp; Phase 2: Payments, subscriptions, checkout, entitlements, and billing-aware workflows.</x:v>
      </x:c>
      <x:c r="H41" s="38" t="str">
        <x:v>Remaster studio, vocal fingerprint, best-take compiler, harmony designer, advanced video upgrade.</x:v>
      </x:c>
    </x:row>
    <x:row r="42" ht="48" customHeight="1">
      <x:c r="A42" s="60" t="str">
        <x:v>DOS-002</x:v>
      </x:c>
      <x:c r="B42" s="37" t="str">
        <x:v>KaraokeDokie — Media Intelligence &amp; Phase 2</x:v>
      </x:c>
      <x:c r="C42" s="37" t="str">
        <x:v>FAM-19</x:v>
      </x:c>
      <x:c r="D42" s="37" t="str">
        <x:v>Rewards, badges &amp; entitlements</x:v>
      </x:c>
      <x:c r="E42" s="37" t="str">
        <x:v>Expansion</x:v>
      </x:c>
      <x:c r="F42" s="37" t="str">
        <x:v>Flexible / later only</x:v>
      </x:c>
      <x:c r="G42" s="37" t="str">
        <x:v>KaraokeDokie — Media Intelligence &amp; Phase 2: Loyalty, roles, rewards, badges, credits, and access logic.</x:v>
      </x:c>
      <x:c r="H42" s="38" t="str">
        <x:v>Remaster studio, vocal fingerprint, best-take compiler, harmony designer, advanced video upgrade.</x:v>
      </x:c>
    </x:row>
    <x:row r="43" ht="48" customHeight="1">
      <x:c r="A43" s="60" t="str">
        <x:v>DOS-002</x:v>
      </x:c>
      <x:c r="B43" s="37" t="str">
        <x:v>KaraokeDokie — Media Intelligence &amp; Phase 2</x:v>
      </x:c>
      <x:c r="C43" s="37" t="str">
        <x:v>FAM-38</x:v>
      </x:c>
      <x:c r="D43" s="37" t="str">
        <x:v>Native/desktop packaging route</x:v>
      </x:c>
      <x:c r="E43" s="37" t="str">
        <x:v>Expansion</x:v>
      </x:c>
      <x:c r="F43" s="37" t="str">
        <x:v>Flexible / later only</x:v>
      </x:c>
      <x:c r="G43" s="37" t="str">
        <x:v>KaraokeDokie — Media Intelligence &amp; Phase 2: Native mobile or desktop packaging, device integrations, and distribution path.</x:v>
      </x:c>
      <x:c r="H43" s="38" t="str">
        <x:v>Remaster studio, vocal fingerprint, best-take compiler, harmony designer, advanced video upgrade.</x:v>
      </x:c>
    </x:row>
    <x:row r="44" ht="48" customHeight="1">
      <x:c r="A44" s="60" t="str">
        <x:v>DOS-003</x:v>
      </x:c>
      <x:c r="B44" s="37" t="str">
        <x:v>Karaoke 2.0 / Digital Isolation Chamber</x:v>
      </x:c>
      <x:c r="C44" s="37" t="str">
        <x:v>FAM-01</x:v>
      </x:c>
      <x:c r="D44" s="37" t="str">
        <x:v>Responsive web / PWA interface</x:v>
      </x:c>
      <x:c r="E44" s="37" t="str">
        <x:v>Must</x:v>
      </x:c>
      <x:c r="F44" s="37" t="str">
        <x:v>Strict-route gate</x:v>
      </x:c>
      <x:c r="G44" s="37" t="str">
        <x:v>Karaoke 2.0 / Digital Isolation Chamber: Mobile-first responsive screens and app-like web navigation.</x:v>
      </x:c>
      <x:c r="H44" s="38" t="str">
        <x:v>Define human-service production offer, artist workflow, and simple digital preparation room.</x:v>
      </x:c>
    </x:row>
    <x:row r="45" ht="48" customHeight="1">
      <x:c r="A45" s="60" t="str">
        <x:v>DOS-003</x:v>
      </x:c>
      <x:c r="B45" s="37" t="str">
        <x:v>Karaoke 2.0 / Digital Isolation Chamber</x:v>
      </x:c>
      <x:c r="C45" s="37" t="str">
        <x:v>FAM-23</x:v>
      </x:c>
      <x:c r="D45" s="37" t="str">
        <x:v>Public website, SEO &amp; domain control</x:v>
      </x:c>
      <x:c r="E45" s="37" t="str">
        <x:v>Must</x:v>
      </x:c>
      <x:c r="F45" s="37" t="str">
        <x:v>Strict-route gate</x:v>
      </x:c>
      <x:c r="G45" s="37" t="str">
        <x:v>Karaoke 2.0 / Digital Isolation Chamber: Public pages, discoverability, custom domain, shareability, and search metadata.</x:v>
      </x:c>
      <x:c r="H45" s="38" t="str">
        <x:v>Define human-service production offer, artist workflow, and simple digital preparation room.</x:v>
      </x:c>
    </x:row>
    <x:row r="46" ht="48" customHeight="1">
      <x:c r="A46" s="60" t="str">
        <x:v>DOS-003</x:v>
      </x:c>
      <x:c r="B46" s="37" t="str">
        <x:v>Karaoke 2.0 / Digital Isolation Chamber</x:v>
      </x:c>
      <x:c r="C46" s="37" t="str">
        <x:v>FAM-26</x:v>
      </x:c>
      <x:c r="D46" s="37" t="str">
        <x:v>Admin, CMS &amp; operational management</x:v>
      </x:c>
      <x:c r="E46" s="37" t="str">
        <x:v>Must</x:v>
      </x:c>
      <x:c r="F46" s="37" t="str">
        <x:v>Strict-route gate</x:v>
      </x:c>
      <x:c r="G46" s="37" t="str">
        <x:v>Karaoke 2.0 / Digital Isolation Chamber: Admin views, content management, operational review, and human overrides.</x:v>
      </x:c>
      <x:c r="H46" s="38" t="str">
        <x:v>Define human-service production offer, artist workflow, and simple digital preparation room.</x:v>
      </x:c>
    </x:row>
    <x:row r="47" ht="48" customHeight="1">
      <x:c r="A47" s="60" t="str">
        <x:v>DOS-003</x:v>
      </x:c>
      <x:c r="B47" s="37" t="str">
        <x:v>Karaoke 2.0 / Digital Isolation Chamber</x:v>
      </x:c>
      <x:c r="C47" s="37" t="str">
        <x:v>FAM-34</x:v>
      </x:c>
      <x:c r="D47" s="37" t="str">
        <x:v>Lead capture, booking &amp; service commerce</x:v>
      </x:c>
      <x:c r="E47" s="37" t="str">
        <x:v>Must</x:v>
      </x:c>
      <x:c r="F47" s="37" t="str">
        <x:v>Strict-route gate</x:v>
      </x:c>
      <x:c r="G47" s="37" t="str">
        <x:v>Karaoke 2.0 / Digital Isolation Chamber: Inquiry forms, booking, sales funnels, quotes, and service-client handoff.</x:v>
      </x:c>
      <x:c r="H47" s="38" t="str">
        <x:v>Define human-service production offer, artist workflow, and simple digital preparation room.</x:v>
      </x:c>
    </x:row>
    <x:row r="48" ht="48" customHeight="1">
      <x:c r="A48" s="60" t="str">
        <x:v>DOS-003</x:v>
      </x:c>
      <x:c r="B48" s="37" t="str">
        <x:v>Karaoke 2.0 / Digital Isolation Chamber</x:v>
      </x:c>
      <x:c r="C48" s="37" t="str">
        <x:v>FAM-40</x:v>
      </x:c>
      <x:c r="D48" s="37" t="str">
        <x:v>Research, validation &amp; launch experiment</x:v>
      </x:c>
      <x:c r="E48" s="37" t="str">
        <x:v>Must</x:v>
      </x:c>
      <x:c r="F48" s="37" t="str">
        <x:v>Strict-route gate</x:v>
      </x:c>
      <x:c r="G48" s="37" t="str">
        <x:v>Karaoke 2.0 / Digital Isolation Chamber: Landing tests, surveys, waitlists, hypotheses, experiments, and evidence capture.</x:v>
      </x:c>
      <x:c r="H48" s="38" t="str">
        <x:v>Define human-service production offer, artist workflow, and simple digital preparation room.</x:v>
      </x:c>
    </x:row>
    <x:row r="49" ht="48" customHeight="1">
      <x:c r="A49" s="60" t="str">
        <x:v>DOS-003</x:v>
      </x:c>
      <x:c r="B49" s="37" t="str">
        <x:v>Karaoke 2.0 / Digital Isolation Chamber</x:v>
      </x:c>
      <x:c r="C49" s="37" t="str">
        <x:v>FAM-02</x:v>
      </x:c>
      <x:c r="D49" s="37" t="str">
        <x:v>Android/mobile builder workability</x:v>
      </x:c>
      <x:c r="E49" s="37" t="str">
        <x:v>Important</x:v>
      </x:c>
      <x:c r="F49" s="37" t="str">
        <x:v>Score after gates</x:v>
      </x:c>
      <x:c r="G49" s="37" t="str">
        <x:v>Karaoke 2.0 / Digital Isolation Chamber: Derek can build, edit, preview, test, and deploy with reasonable Android/mobile friction.</x:v>
      </x:c>
      <x:c r="H49" s="38" t="str">
        <x:v>Use service/booking and resource portal first; defer full recording technology.</x:v>
      </x:c>
    </x:row>
    <x:row r="50" ht="48" customHeight="1">
      <x:c r="A50" s="60" t="str">
        <x:v>DOS-003</x:v>
      </x:c>
      <x:c r="B50" s="37" t="str">
        <x:v>Karaoke 2.0 / Digital Isolation Chamber</x:v>
      </x:c>
      <x:c r="C50" s="37" t="str">
        <x:v>FAM-17</x:v>
      </x:c>
      <x:c r="D50" s="37" t="str">
        <x:v>Payments, subscriptions &amp; billing</x:v>
      </x:c>
      <x:c r="E50" s="37" t="str">
        <x:v>Important</x:v>
      </x:c>
      <x:c r="F50" s="37" t="str">
        <x:v>Score after gates</x:v>
      </x:c>
      <x:c r="G50" s="37" t="str">
        <x:v>Karaoke 2.0 / Digital Isolation Chamber: Payments, subscriptions, checkout, entitlements, and billing-aware workflows.</x:v>
      </x:c>
      <x:c r="H50" s="38" t="str">
        <x:v>Use service/booking and resource portal first; defer full recording technology.</x:v>
      </x:c>
    </x:row>
    <x:row r="51" ht="48" customHeight="1">
      <x:c r="A51" s="60" t="str">
        <x:v>DOS-003</x:v>
      </x:c>
      <x:c r="B51" s="37" t="str">
        <x:v>Karaoke 2.0 / Digital Isolation Chamber</x:v>
      </x:c>
      <x:c r="C51" s="37" t="str">
        <x:v>FAM-22</x:v>
      </x:c>
      <x:c r="D51" s="37" t="str">
        <x:v>APIs &amp; third-party integrations</x:v>
      </x:c>
      <x:c r="E51" s="37" t="str">
        <x:v>Important</x:v>
      </x:c>
      <x:c r="F51" s="37" t="str">
        <x:v>Score after gates</x:v>
      </x:c>
      <x:c r="G51" s="37" t="str">
        <x:v>Karaoke 2.0 / Digital Isolation Chamber: External services, social/export targets, payment providers, and service connectors.</x:v>
      </x:c>
      <x:c r="H51" s="38" t="str">
        <x:v>Use service/booking and resource portal first; defer full recording technology.</x:v>
      </x:c>
    </x:row>
    <x:row r="52" ht="48" customHeight="1">
      <x:c r="A52" s="60" t="str">
        <x:v>DOS-003</x:v>
      </x:c>
      <x:c r="B52" s="37" t="str">
        <x:v>Karaoke 2.0 / Digital Isolation Chamber</x:v>
      </x:c>
      <x:c r="C52" s="37" t="str">
        <x:v>FAM-25</x:v>
      </x:c>
      <x:c r="D52" s="37" t="str">
        <x:v>Analytics, reporting &amp; decision dashboards</x:v>
      </x:c>
      <x:c r="E52" s="37" t="str">
        <x:v>Important</x:v>
      </x:c>
      <x:c r="F52" s="37" t="str">
        <x:v>Score after gates</x:v>
      </x:c>
      <x:c r="G52" s="37" t="str">
        <x:v>Karaoke 2.0 / Digital Isolation Chamber: Usage metrics, charts, rankings, reporting, and decision support.</x:v>
      </x:c>
      <x:c r="H52" s="38" t="str">
        <x:v>Use service/booking and resource portal first; defer full recording technology.</x:v>
      </x:c>
    </x:row>
    <x:row r="53" ht="48" customHeight="1">
      <x:c r="A53" s="60" t="str">
        <x:v>DOS-003</x:v>
      </x:c>
      <x:c r="B53" s="37" t="str">
        <x:v>Karaoke 2.0 / Digital Isolation Chamber</x:v>
      </x:c>
      <x:c r="C53" s="37" t="str">
        <x:v>FAM-27</x:v>
      </x:c>
      <x:c r="D53" s="37" t="str">
        <x:v>Portability, ownership &amp; escape path</x:v>
      </x:c>
      <x:c r="E53" s="37" t="str">
        <x:v>Important</x:v>
      </x:c>
      <x:c r="F53" s="37" t="str">
        <x:v>Score after gates</x:v>
      </x:c>
      <x:c r="G53" s="37" t="str">
        <x:v>Karaoke 2.0 / Digital Isolation Chamber: Code/data export, GitHub, custom domains, migration, and lock-in control.</x:v>
      </x:c>
      <x:c r="H53" s="38" t="str">
        <x:v>Use service/booking and resource portal first; defer full recording technology.</x:v>
      </x:c>
    </x:row>
    <x:row r="54" ht="48" customHeight="1">
      <x:c r="A54" s="60" t="str">
        <x:v>DOS-003</x:v>
      </x:c>
      <x:c r="B54" s="37" t="str">
        <x:v>Karaoke 2.0 / Digital Isolation Chamber</x:v>
      </x:c>
      <x:c r="C54" s="37" t="str">
        <x:v>FAM-33</x:v>
      </x:c>
      <x:c r="D54" s="37" t="str">
        <x:v>Location, scheduling &amp; service coordination</x:v>
      </x:c>
      <x:c r="E54" s="37" t="str">
        <x:v>Important</x:v>
      </x:c>
      <x:c r="F54" s="37" t="str">
        <x:v>Score after gates</x:v>
      </x:c>
      <x:c r="G54" s="37" t="str">
        <x:v>Karaoke 2.0 / Digital Isolation Chamber: Maps, appointments, resources, availability, or geographic service coordination.</x:v>
      </x:c>
      <x:c r="H54" s="38" t="str">
        <x:v>Use service/booking and resource portal first; defer full recording technology.</x:v>
      </x:c>
    </x:row>
    <x:row r="55" ht="48" customHeight="1">
      <x:c r="A55" s="60" t="str">
        <x:v>DOS-003</x:v>
      </x:c>
      <x:c r="B55" s="37" t="str">
        <x:v>Karaoke 2.0 / Digital Isolation Chamber</x:v>
      </x:c>
      <x:c r="C55" s="37" t="str">
        <x:v>FAM-03</x:v>
      </x:c>
      <x:c r="D55" s="37" t="str">
        <x:v>Authentication, identity &amp; roles</x:v>
      </x:c>
      <x:c r="E55" s="37" t="str">
        <x:v>Expansion</x:v>
      </x:c>
      <x:c r="F55" s="37" t="str">
        <x:v>Flexible / later only</x:v>
      </x:c>
      <x:c r="G55" s="37" t="str">
        <x:v>Karaoke 2.0 / Digital Isolation Chamber: Sign-in, role-aware access, member identity, and permissions.</x:v>
      </x:c>
      <x:c r="H55" s="38" t="str">
        <x:v>Vocal Booth, isolation workflows, deeper production tools, native/device integrations.</x:v>
      </x:c>
    </x:row>
    <x:row r="56" ht="48" customHeight="1">
      <x:c r="A56" s="60" t="str">
        <x:v>DOS-003</x:v>
      </x:c>
      <x:c r="B56" s="37" t="str">
        <x:v>Karaoke 2.0 / Digital Isolation Chamber</x:v>
      </x:c>
      <x:c r="C56" s="37" t="str">
        <x:v>FAM-04</x:v>
      </x:c>
      <x:c r="D56" s="37" t="str">
        <x:v>Profiles, portfolios &amp; relationship records</x:v>
      </x:c>
      <x:c r="E56" s="37" t="str">
        <x:v>Expansion</x:v>
      </x:c>
      <x:c r="F56" s="37" t="str">
        <x:v>Flexible / later only</x:v>
      </x:c>
      <x:c r="G56" s="37" t="str">
        <x:v>Karaoke 2.0 / Digital Isolation Chamber: Persistent user/member/creator profiles and linked relationships.</x:v>
      </x:c>
      <x:c r="H56" s="38" t="str">
        <x:v>Vocal Booth, isolation workflows, deeper production tools, native/device integrations.</x:v>
      </x:c>
    </x:row>
    <x:row r="57" ht="48" customHeight="1">
      <x:c r="A57" s="60" t="str">
        <x:v>DOS-003</x:v>
      </x:c>
      <x:c r="B57" s="37" t="str">
        <x:v>Karaoke 2.0 / Digital Isolation Chamber</x:v>
      </x:c>
      <x:c r="C57" s="37" t="str">
        <x:v>FAM-12</x:v>
      </x:c>
      <x:c r="D57" s="37" t="str">
        <x:v>AI text generation, analysis &amp; agents</x:v>
      </x:c>
      <x:c r="E57" s="37" t="str">
        <x:v>Expansion</x:v>
      </x:c>
      <x:c r="F57" s="37" t="str">
        <x:v>Flexible / later only</x:v>
      </x:c>
      <x:c r="G57" s="37" t="str">
        <x:v>Karaoke 2.0 / Digital Isolation Chamber: Prompted generation, classification, summarization, reasoning, or assistant behavior.</x:v>
      </x:c>
      <x:c r="H57" s="38" t="str">
        <x:v>Vocal Booth, isolation workflows, deeper production tools, native/device integrations.</x:v>
      </x:c>
    </x:row>
    <x:row r="58" ht="48" customHeight="1">
      <x:c r="A58" s="60" t="str">
        <x:v>DOS-003</x:v>
      </x:c>
      <x:c r="B58" s="37" t="str">
        <x:v>Karaoke 2.0 / Digital Isolation Chamber</x:v>
      </x:c>
      <x:c r="C58" s="37" t="str">
        <x:v>FAM-18</x:v>
      </x:c>
      <x:c r="D58" s="37" t="str">
        <x:v>Commerce, catalog &amp; fulfillment</x:v>
      </x:c>
      <x:c r="E58" s="37" t="str">
        <x:v>Expansion</x:v>
      </x:c>
      <x:c r="F58" s="37" t="str">
        <x:v>Flexible / later only</x:v>
      </x:c>
      <x:c r="G58" s="37" t="str">
        <x:v>Karaoke 2.0 / Digital Isolation Chamber: Product catalogs, ecommerce, orders, print-on-demand, and fulfillment integrations.</x:v>
      </x:c>
      <x:c r="H58" s="38" t="str">
        <x:v>Vocal Booth, isolation workflows, deeper production tools, native/device integrations.</x:v>
      </x:c>
    </x:row>
    <x:row r="59" ht="48" customHeight="1">
      <x:c r="A59" s="60" t="str">
        <x:v>DOS-004</x:v>
      </x:c>
      <x:c r="B59" s="37" t="str">
        <x:v>Zafstagram</x:v>
      </x:c>
      <x:c r="C59" s="37" t="str">
        <x:v>FAM-01</x:v>
      </x:c>
      <x:c r="D59" s="37" t="str">
        <x:v>Responsive web / PWA interface</x:v>
      </x:c>
      <x:c r="E59" s="37" t="str">
        <x:v>Must</x:v>
      </x:c>
      <x:c r="F59" s="37" t="str">
        <x:v>Strict-route gate</x:v>
      </x:c>
      <x:c r="G59" s="37" t="str">
        <x:v>Zafstagram: Mobile-first responsive screens and app-like web navigation.</x:v>
      </x:c>
      <x:c r="H59" s="38" t="str">
        <x:v>Member profile, directory, basic feed/groups, portfolio access, badge/role system, moderation, link/deep-link modules.</x:v>
      </x:c>
    </x:row>
    <x:row r="60" ht="48" customHeight="1">
      <x:c r="A60" s="60" t="str">
        <x:v>DOS-004</x:v>
      </x:c>
      <x:c r="B60" s="37" t="str">
        <x:v>Zafstagram</x:v>
      </x:c>
      <x:c r="C60" s="37" t="str">
        <x:v>FAM-03</x:v>
      </x:c>
      <x:c r="D60" s="37" t="str">
        <x:v>Authentication, identity &amp; roles</x:v>
      </x:c>
      <x:c r="E60" s="37" t="str">
        <x:v>Must</x:v>
      </x:c>
      <x:c r="F60" s="37" t="str">
        <x:v>Strict-route gate</x:v>
      </x:c>
      <x:c r="G60" s="37" t="str">
        <x:v>Zafstagram: Sign-in, role-aware access, member identity, and permissions.</x:v>
      </x:c>
      <x:c r="H60" s="38" t="str">
        <x:v>Member profile, directory, basic feed/groups, portfolio access, badge/role system, moderation, link/deep-link modules.</x:v>
      </x:c>
    </x:row>
    <x:row r="61" ht="48" customHeight="1">
      <x:c r="A61" s="60" t="str">
        <x:v>DOS-004</x:v>
      </x:c>
      <x:c r="B61" s="37" t="str">
        <x:v>Zafstagram</x:v>
      </x:c>
      <x:c r="C61" s="37" t="str">
        <x:v>FAM-04</x:v>
      </x:c>
      <x:c r="D61" s="37" t="str">
        <x:v>Profiles, portfolios &amp; relationship records</x:v>
      </x:c>
      <x:c r="E61" s="37" t="str">
        <x:v>Must</x:v>
      </x:c>
      <x:c r="F61" s="37" t="str">
        <x:v>Strict-route gate</x:v>
      </x:c>
      <x:c r="G61" s="37" t="str">
        <x:v>Zafstagram: Persistent user/member/creator profiles and linked relationships.</x:v>
      </x:c>
      <x:c r="H61" s="38" t="str">
        <x:v>Member profile, directory, basic feed/groups, portfolio access, badge/role system, moderation, link/deep-link modules.</x:v>
      </x:c>
    </x:row>
    <x:row r="62" ht="48" customHeight="1">
      <x:c r="A62" s="60" t="str">
        <x:v>DOS-004</x:v>
      </x:c>
      <x:c r="B62" s="37" t="str">
        <x:v>Zafstagram</x:v>
      </x:c>
      <x:c r="C62" s="37" t="str">
        <x:v>FAM-05</x:v>
      </x:c>
      <x:c r="D62" s="37" t="str">
        <x:v>Structured database &amp; persistent records</x:v>
      </x:c>
      <x:c r="E62" s="37" t="str">
        <x:v>Must</x:v>
      </x:c>
      <x:c r="F62" s="37" t="str">
        <x:v>Strict-route gate</x:v>
      </x:c>
      <x:c r="G62" s="37" t="str">
        <x:v>Zafstagram: Reliable structured data storage, retrieval, and updates.</x:v>
      </x:c>
      <x:c r="H62" s="38" t="str">
        <x:v>Member profile, directory, basic feed/groups, portfolio access, badge/role system, moderation, link/deep-link modules.</x:v>
      </x:c>
    </x:row>
    <x:row r="63" ht="48" customHeight="1">
      <x:c r="A63" s="60" t="str">
        <x:v>DOS-004</x:v>
      </x:c>
      <x:c r="B63" s="37" t="str">
        <x:v>Zafstagram</x:v>
      </x:c>
      <x:c r="C63" s="37" t="str">
        <x:v>FAM-06</x:v>
      </x:c>
      <x:c r="D63" s="37" t="str">
        <x:v>Search, filters, lists &amp; directories</x:v>
      </x:c>
      <x:c r="E63" s="37" t="str">
        <x:v>Must</x:v>
      </x:c>
      <x:c r="F63" s="37" t="str">
        <x:v>Strict-route gate</x:v>
      </x:c>
      <x:c r="G63" s="37" t="str">
        <x:v>Zafstagram: Searchable libraries, member lists, catalog browsing, and filtered views.</x:v>
      </x:c>
      <x:c r="H63" s="38" t="str">
        <x:v>Member profile, directory, basic feed/groups, portfolio access, badge/role system, moderation, link/deep-link modules.</x:v>
      </x:c>
    </x:row>
    <x:row r="64" ht="48" customHeight="1">
      <x:c r="A64" s="60" t="str">
        <x:v>DOS-004</x:v>
      </x:c>
      <x:c r="B64" s="37" t="str">
        <x:v>Zafstagram</x:v>
      </x:c>
      <x:c r="C64" s="37" t="str">
        <x:v>FAM-15</x:v>
      </x:c>
      <x:c r="D64" s="37" t="str">
        <x:v>Social, realtime &amp; collaboration</x:v>
      </x:c>
      <x:c r="E64" s="37" t="str">
        <x:v>Must</x:v>
      </x:c>
      <x:c r="F64" s="37" t="str">
        <x:v>Strict-route gate</x:v>
      </x:c>
      <x:c r="G64" s="37" t="str">
        <x:v>Zafstagram: Feeds, messaging, groups, sharing, realtime updates, or multi-user creation.</x:v>
      </x:c>
      <x:c r="H64" s="38" t="str">
        <x:v>Member profile, directory, basic feed/groups, portfolio access, badge/role system, moderation, link/deep-link modules.</x:v>
      </x:c>
    </x:row>
    <x:row r="65" ht="48" customHeight="1">
      <x:c r="A65" s="60" t="str">
        <x:v>DOS-004</x:v>
      </x:c>
      <x:c r="B65" s="37" t="str">
        <x:v>Zafstagram</x:v>
      </x:c>
      <x:c r="C65" s="37" t="str">
        <x:v>FAM-16</x:v>
      </x:c>
      <x:c r="D65" s="37" t="str">
        <x:v>Content moderation &amp; reporting</x:v>
      </x:c>
      <x:c r="E65" s="37" t="str">
        <x:v>Must</x:v>
      </x:c>
      <x:c r="F65" s="37" t="str">
        <x:v>Strict-route gate</x:v>
      </x:c>
      <x:c r="G65" s="37" t="str">
        <x:v>Zafstagram: Reports, queues, permissions, review actions, and community safety controls.</x:v>
      </x:c>
      <x:c r="H65" s="38" t="str">
        <x:v>Member profile, directory, basic feed/groups, portfolio access, badge/role system, moderation, link/deep-link modules.</x:v>
      </x:c>
    </x:row>
    <x:row r="66" ht="48" customHeight="1">
      <x:c r="A66" s="60" t="str">
        <x:v>DOS-004</x:v>
      </x:c>
      <x:c r="B66" s="37" t="str">
        <x:v>Zafstagram</x:v>
      </x:c>
      <x:c r="C66" s="37" t="str">
        <x:v>FAM-23</x:v>
      </x:c>
      <x:c r="D66" s="37" t="str">
        <x:v>Public website, SEO &amp; domain control</x:v>
      </x:c>
      <x:c r="E66" s="37" t="str">
        <x:v>Must</x:v>
      </x:c>
      <x:c r="F66" s="37" t="str">
        <x:v>Strict-route gate</x:v>
      </x:c>
      <x:c r="G66" s="37" t="str">
        <x:v>Zafstagram: Public pages, discoverability, custom domain, shareability, and search metadata.</x:v>
      </x:c>
      <x:c r="H66" s="38" t="str">
        <x:v>Member profile, directory, basic feed/groups, portfolio access, badge/role system, moderation, link/deep-link modules.</x:v>
      </x:c>
    </x:row>
    <x:row r="67" ht="48" customHeight="1">
      <x:c r="A67" s="60" t="str">
        <x:v>DOS-004</x:v>
      </x:c>
      <x:c r="B67" s="37" t="str">
        <x:v>Zafstagram</x:v>
      </x:c>
      <x:c r="C67" s="37" t="str">
        <x:v>FAM-26</x:v>
      </x:c>
      <x:c r="D67" s="37" t="str">
        <x:v>Admin, CMS &amp; operational management</x:v>
      </x:c>
      <x:c r="E67" s="37" t="str">
        <x:v>Must</x:v>
      </x:c>
      <x:c r="F67" s="37" t="str">
        <x:v>Strict-route gate</x:v>
      </x:c>
      <x:c r="G67" s="37" t="str">
        <x:v>Zafstagram: Admin views, content management, operational review, and human overrides.</x:v>
      </x:c>
      <x:c r="H67" s="38" t="str">
        <x:v>Member profile, directory, basic feed/groups, portfolio access, badge/role system, moderation, link/deep-link modules.</x:v>
      </x:c>
    </x:row>
    <x:row r="68" ht="48" customHeight="1">
      <x:c r="A68" s="60" t="str">
        <x:v>DOS-004</x:v>
      </x:c>
      <x:c r="B68" s="37" t="str">
        <x:v>Zafstagram</x:v>
      </x:c>
      <x:c r="C68" s="37" t="str">
        <x:v>FAM-02</x:v>
      </x:c>
      <x:c r="D68" s="37" t="str">
        <x:v>Android/mobile builder workability</x:v>
      </x:c>
      <x:c r="E68" s="37" t="str">
        <x:v>Important</x:v>
      </x:c>
      <x:c r="F68" s="37" t="str">
        <x:v>Score after gates</x:v>
      </x:c>
      <x:c r="G68" s="37" t="str">
        <x:v>Zafstagram: Derek can build, edit, preview, test, and deploy with reasonable Android/mobile friction.</x:v>
      </x:c>
      <x:c r="H68" s="38" t="str">
        <x:v>Launch as one coherent community surface; defer a fully custom social graph and complex native-only features.</x:v>
      </x:c>
    </x:row>
    <x:row r="69" ht="48" customHeight="1">
      <x:c r="A69" s="60" t="str">
        <x:v>DOS-004</x:v>
      </x:c>
      <x:c r="B69" s="37" t="str">
        <x:v>Zafstagram</x:v>
      </x:c>
      <x:c r="C69" s="37" t="str">
        <x:v>FAM-07</x:v>
      </x:c>
      <x:c r="D69" s="37" t="str">
        <x:v>File intake, storage &amp; lifecycle</x:v>
      </x:c>
      <x:c r="E69" s="37" t="str">
        <x:v>Important</x:v>
      </x:c>
      <x:c r="F69" s="37" t="str">
        <x:v>Score after gates</x:v>
      </x:c>
      <x:c r="G69" s="37" t="str">
        <x:v>Zafstagram: Upload/import, validation, storage, retention, and file-size handling.</x:v>
      </x:c>
      <x:c r="H69" s="38" t="str">
        <x:v>Launch as one coherent community surface; defer a fully custom social graph and complex native-only features.</x:v>
      </x:c>
    </x:row>
    <x:row r="70" ht="48" customHeight="1">
      <x:c r="A70" s="60" t="str">
        <x:v>DOS-004</x:v>
      </x:c>
      <x:c r="B70" s="37" t="str">
        <x:v>Zafstagram</x:v>
      </x:c>
      <x:c r="C70" s="37" t="str">
        <x:v>FAM-19</x:v>
      </x:c>
      <x:c r="D70" s="37" t="str">
        <x:v>Rewards, badges &amp; entitlements</x:v>
      </x:c>
      <x:c r="E70" s="37" t="str">
        <x:v>Important</x:v>
      </x:c>
      <x:c r="F70" s="37" t="str">
        <x:v>Score after gates</x:v>
      </x:c>
      <x:c r="G70" s="37" t="str">
        <x:v>Zafstagram: Loyalty, roles, rewards, badges, credits, and access logic.</x:v>
      </x:c>
      <x:c r="H70" s="38" t="str">
        <x:v>Launch as one coherent community surface; defer a fully custom social graph and complex native-only features.</x:v>
      </x:c>
    </x:row>
    <x:row r="71" ht="48" customHeight="1">
      <x:c r="A71" s="60" t="str">
        <x:v>DOS-004</x:v>
      </x:c>
      <x:c r="B71" s="37" t="str">
        <x:v>Zafstagram</x:v>
      </x:c>
      <x:c r="C71" s="37" t="str">
        <x:v>FAM-20</x:v>
      </x:c>
      <x:c r="D71" s="37" t="str">
        <x:v>Notifications, reminders &amp; deadlines</x:v>
      </x:c>
      <x:c r="E71" s="37" t="str">
        <x:v>Important</x:v>
      </x:c>
      <x:c r="F71" s="37" t="str">
        <x:v>Score after gates</x:v>
      </x:c>
      <x:c r="G71" s="37" t="str">
        <x:v>Zafstagram: Push/email/in-app reminders, scheduled tasks, and time-bound flows.</x:v>
      </x:c>
      <x:c r="H71" s="38" t="str">
        <x:v>Launch as one coherent community surface; defer a fully custom social graph and complex native-only features.</x:v>
      </x:c>
    </x:row>
    <x:row r="72" ht="48" customHeight="1">
      <x:c r="A72" s="60" t="str">
        <x:v>DOS-004</x:v>
      </x:c>
      <x:c r="B72" s="37" t="str">
        <x:v>Zafstagram</x:v>
      </x:c>
      <x:c r="C72" s="37" t="str">
        <x:v>FAM-25</x:v>
      </x:c>
      <x:c r="D72" s="37" t="str">
        <x:v>Analytics, reporting &amp; decision dashboards</x:v>
      </x:c>
      <x:c r="E72" s="37" t="str">
        <x:v>Important</x:v>
      </x:c>
      <x:c r="F72" s="37" t="str">
        <x:v>Score after gates</x:v>
      </x:c>
      <x:c r="G72" s="37" t="str">
        <x:v>Zafstagram: Usage metrics, charts, rankings, reporting, and decision support.</x:v>
      </x:c>
      <x:c r="H72" s="38" t="str">
        <x:v>Launch as one coherent community surface; defer a fully custom social graph and complex native-only features.</x:v>
      </x:c>
    </x:row>
    <x:row r="73" ht="48" customHeight="1">
      <x:c r="A73" s="60" t="str">
        <x:v>DOS-004</x:v>
      </x:c>
      <x:c r="B73" s="37" t="str">
        <x:v>Zafstagram</x:v>
      </x:c>
      <x:c r="C73" s="37" t="str">
        <x:v>FAM-27</x:v>
      </x:c>
      <x:c r="D73" s="37" t="str">
        <x:v>Portability, ownership &amp; escape path</x:v>
      </x:c>
      <x:c r="E73" s="37" t="str">
        <x:v>Important</x:v>
      </x:c>
      <x:c r="F73" s="37" t="str">
        <x:v>Score after gates</x:v>
      </x:c>
      <x:c r="G73" s="37" t="str">
        <x:v>Zafstagram: Code/data export, GitHub, custom domains, migration, and lock-in control.</x:v>
      </x:c>
      <x:c r="H73" s="38" t="str">
        <x:v>Launch as one coherent community surface; defer a fully custom social graph and complex native-only features.</x:v>
      </x:c>
    </x:row>
    <x:row r="74" ht="48" customHeight="1">
      <x:c r="A74" s="60" t="str">
        <x:v>DOS-004</x:v>
      </x:c>
      <x:c r="B74" s="37" t="str">
        <x:v>Zafstagram</x:v>
      </x:c>
      <x:c r="C74" s="37" t="str">
        <x:v>FAM-30</x:v>
      </x:c>
      <x:c r="D74" s="37" t="str">
        <x:v>Installability, offline &amp; push</x:v>
      </x:c>
      <x:c r="E74" s="37" t="str">
        <x:v>Important</x:v>
      </x:c>
      <x:c r="F74" s="37" t="str">
        <x:v>Score after gates</x:v>
      </x:c>
      <x:c r="G74" s="37" t="str">
        <x:v>Zafstagram: Installable PWA behavior, service worker/offline needs, and device push.</x:v>
      </x:c>
      <x:c r="H74" s="38" t="str">
        <x:v>Launch as one coherent community surface; defer a fully custom social graph and complex native-only features.</x:v>
      </x:c>
    </x:row>
    <x:row r="75" ht="48" customHeight="1">
      <x:c r="A75" s="60" t="str">
        <x:v>DOS-004</x:v>
      </x:c>
      <x:c r="B75" s="37" t="str">
        <x:v>Zafstagram</x:v>
      </x:c>
      <x:c r="C75" s="37" t="str">
        <x:v>FAM-35</x:v>
      </x:c>
      <x:c r="D75" s="37" t="str">
        <x:v>Privacy, consent &amp; audit trail</x:v>
      </x:c>
      <x:c r="E75" s="37" t="str">
        <x:v>Important</x:v>
      </x:c>
      <x:c r="F75" s="37" t="str">
        <x:v>Score after gates</x:v>
      </x:c>
      <x:c r="G75" s="37" t="str">
        <x:v>Zafstagram: Consent, retention, access controls, provenance, and auditable actions.</x:v>
      </x:c>
      <x:c r="H75" s="38" t="str">
        <x:v>Launch as one coherent community surface; defer a fully custom social graph and complex native-only features.</x:v>
      </x:c>
    </x:row>
    <x:row r="76" ht="48" customHeight="1">
      <x:c r="A76" s="60" t="str">
        <x:v>DOS-004</x:v>
      </x:c>
      <x:c r="B76" s="37" t="str">
        <x:v>Zafstagram</x:v>
      </x:c>
      <x:c r="C76" s="37" t="str">
        <x:v>FAM-08</x:v>
      </x:c>
      <x:c r="D76" s="37" t="str">
        <x:v>Image generation &amp; visual workflow</x:v>
      </x:c>
      <x:c r="E76" s="37" t="str">
        <x:v>Expansion</x:v>
      </x:c>
      <x:c r="F76" s="37" t="str">
        <x:v>Flexible / later only</x:v>
      </x:c>
      <x:c r="G76" s="37" t="str">
        <x:v>Zafstagram: Image creation or intake, visual consistency, thumbnails, variants, and review.</x:v>
      </x:c>
      <x:c r="H76" s="38" t="str">
        <x:v>Realtime chat, richer media, commerce, false-bottom worlds, embedded module federation.</x:v>
      </x:c>
    </x:row>
    <x:row r="77" ht="48" customHeight="1">
      <x:c r="A77" s="60" t="str">
        <x:v>DOS-004</x:v>
      </x:c>
      <x:c r="B77" s="37" t="str">
        <x:v>Zafstagram</x:v>
      </x:c>
      <x:c r="C77" s="37" t="str">
        <x:v>FAM-10</x:v>
      </x:c>
      <x:c r="D77" s="37" t="str">
        <x:v>Video, reels &amp; slideshow workflow</x:v>
      </x:c>
      <x:c r="E77" s="37" t="str">
        <x:v>Expansion</x:v>
      </x:c>
      <x:c r="F77" s="37" t="str">
        <x:v>Flexible / later only</x:v>
      </x:c>
      <x:c r="G77" s="37" t="str">
        <x:v>Zafstagram: Video playback/upload, timed slideshows, reels, rendering, and video export.</x:v>
      </x:c>
      <x:c r="H77" s="38" t="str">
        <x:v>Realtime chat, richer media, commerce, false-bottom worlds, embedded module federation.</x:v>
      </x:c>
    </x:row>
    <x:row r="78" ht="48" customHeight="1">
      <x:c r="A78" s="60" t="str">
        <x:v>DOS-004</x:v>
      </x:c>
      <x:c r="B78" s="37" t="str">
        <x:v>Zafstagram</x:v>
      </x:c>
      <x:c r="C78" s="37" t="str">
        <x:v>FAM-17</x:v>
      </x:c>
      <x:c r="D78" s="37" t="str">
        <x:v>Payments, subscriptions &amp; billing</x:v>
      </x:c>
      <x:c r="E78" s="37" t="str">
        <x:v>Expansion</x:v>
      </x:c>
      <x:c r="F78" s="37" t="str">
        <x:v>Flexible / later only</x:v>
      </x:c>
      <x:c r="G78" s="37" t="str">
        <x:v>Zafstagram: Payments, subscriptions, checkout, entitlements, and billing-aware workflows.</x:v>
      </x:c>
      <x:c r="H78" s="38" t="str">
        <x:v>Realtime chat, richer media, commerce, false-bottom worlds, embedded module federation.</x:v>
      </x:c>
    </x:row>
    <x:row r="79" ht="48" customHeight="1">
      <x:c r="A79" s="60" t="str">
        <x:v>DOS-004</x:v>
      </x:c>
      <x:c r="B79" s="37" t="str">
        <x:v>Zafstagram</x:v>
      </x:c>
      <x:c r="C79" s="37" t="str">
        <x:v>FAM-21</x:v>
      </x:c>
      <x:c r="D79" s="37" t="str">
        <x:v>Automations, webhooks &amp; scheduled jobs</x:v>
      </x:c>
      <x:c r="E79" s="37" t="str">
        <x:v>Expansion</x:v>
      </x:c>
      <x:c r="F79" s="37" t="str">
        <x:v>Flexible / later only</x:v>
      </x:c>
      <x:c r="G79" s="37" t="str">
        <x:v>Zafstagram: Event-driven workflows, scheduled tasks, background processes, and webhooks.</x:v>
      </x:c>
      <x:c r="H79" s="38" t="str">
        <x:v>Realtime chat, richer media, commerce, false-bottom worlds, embedded module federation.</x:v>
      </x:c>
    </x:row>
    <x:row r="80" ht="48" customHeight="1">
      <x:c r="A80" s="60" t="str">
        <x:v>DOS-004</x:v>
      </x:c>
      <x:c r="B80" s="37" t="str">
        <x:v>Zafstagram</x:v>
      </x:c>
      <x:c r="C80" s="37" t="str">
        <x:v>FAM-37</x:v>
      </x:c>
      <x:c r="D80" s="37" t="str">
        <x:v>Gamification, challenges &amp; progression</x:v>
      </x:c>
      <x:c r="E80" s="37" t="str">
        <x:v>Expansion</x:v>
      </x:c>
      <x:c r="F80" s="37" t="str">
        <x:v>Flexible / later only</x:v>
      </x:c>
      <x:c r="G80" s="37" t="str">
        <x:v>Zafstagram: Challenges, points, levels, voting, collection, and progress systems.</x:v>
      </x:c>
      <x:c r="H80" s="38" t="str">
        <x:v>Realtime chat, richer media, commerce, false-bottom worlds, embedded module federation.</x:v>
      </x:c>
    </x:row>
    <x:row r="81" ht="48" customHeight="1">
      <x:c r="A81" s="60" t="str">
        <x:v>DOS-005</x:v>
      </x:c>
      <x:c r="B81" s="37" t="str">
        <x:v>ZAF Friends &amp; Family</x:v>
      </x:c>
      <x:c r="C81" s="37" t="str">
        <x:v>FAM-01</x:v>
      </x:c>
      <x:c r="D81" s="37" t="str">
        <x:v>Responsive web / PWA interface</x:v>
      </x:c>
      <x:c r="E81" s="37" t="str">
        <x:v>Must</x:v>
      </x:c>
      <x:c r="F81" s="37" t="str">
        <x:v>Strict-route gate</x:v>
      </x:c>
      <x:c r="G81" s="37" t="str">
        <x:v>ZAF Friends &amp; Family: Mobile-first responsive screens and app-like web navigation.</x:v>
      </x:c>
      <x:c r="H81" s="38" t="str">
        <x:v>Passcode onboarding, secondary profile/passport, starter stickers, role/job directory, beta feedback loop.</x:v>
      </x:c>
    </x:row>
    <x:row r="82" ht="48" customHeight="1">
      <x:c r="A82" s="60" t="str">
        <x:v>DOS-005</x:v>
      </x:c>
      <x:c r="B82" s="37" t="str">
        <x:v>ZAF Friends &amp; Family</x:v>
      </x:c>
      <x:c r="C82" s="37" t="str">
        <x:v>FAM-03</x:v>
      </x:c>
      <x:c r="D82" s="37" t="str">
        <x:v>Authentication, identity &amp; roles</x:v>
      </x:c>
      <x:c r="E82" s="37" t="str">
        <x:v>Must</x:v>
      </x:c>
      <x:c r="F82" s="37" t="str">
        <x:v>Strict-route gate</x:v>
      </x:c>
      <x:c r="G82" s="37" t="str">
        <x:v>ZAF Friends &amp; Family: Sign-in, role-aware access, member identity, and permissions.</x:v>
      </x:c>
      <x:c r="H82" s="38" t="str">
        <x:v>Passcode onboarding, secondary profile/passport, starter stickers, role/job directory, beta feedback loop.</x:v>
      </x:c>
    </x:row>
    <x:row r="83" ht="48" customHeight="1">
      <x:c r="A83" s="60" t="str">
        <x:v>DOS-005</x:v>
      </x:c>
      <x:c r="B83" s="37" t="str">
        <x:v>ZAF Friends &amp; Family</x:v>
      </x:c>
      <x:c r="C83" s="37" t="str">
        <x:v>FAM-04</x:v>
      </x:c>
      <x:c r="D83" s="37" t="str">
        <x:v>Profiles, portfolios &amp; relationship records</x:v>
      </x:c>
      <x:c r="E83" s="37" t="str">
        <x:v>Must</x:v>
      </x:c>
      <x:c r="F83" s="37" t="str">
        <x:v>Strict-route gate</x:v>
      </x:c>
      <x:c r="G83" s="37" t="str">
        <x:v>ZAF Friends &amp; Family: Persistent user/member/creator profiles and linked relationships.</x:v>
      </x:c>
      <x:c r="H83" s="38" t="str">
        <x:v>Passcode onboarding, secondary profile/passport, starter stickers, role/job directory, beta feedback loop.</x:v>
      </x:c>
    </x:row>
    <x:row r="84" ht="48" customHeight="1">
      <x:c r="A84" s="60" t="str">
        <x:v>DOS-005</x:v>
      </x:c>
      <x:c r="B84" s="37" t="str">
        <x:v>ZAF Friends &amp; Family</x:v>
      </x:c>
      <x:c r="C84" s="37" t="str">
        <x:v>FAM-05</x:v>
      </x:c>
      <x:c r="D84" s="37" t="str">
        <x:v>Structured database &amp; persistent records</x:v>
      </x:c>
      <x:c r="E84" s="37" t="str">
        <x:v>Must</x:v>
      </x:c>
      <x:c r="F84" s="37" t="str">
        <x:v>Strict-route gate</x:v>
      </x:c>
      <x:c r="G84" s="37" t="str">
        <x:v>ZAF Friends &amp; Family: Reliable structured data storage, retrieval, and updates.</x:v>
      </x:c>
      <x:c r="H84" s="38" t="str">
        <x:v>Passcode onboarding, secondary profile/passport, starter stickers, role/job directory, beta feedback loop.</x:v>
      </x:c>
    </x:row>
    <x:row r="85" ht="48" customHeight="1">
      <x:c r="A85" s="60" t="str">
        <x:v>DOS-005</x:v>
      </x:c>
      <x:c r="B85" s="37" t="str">
        <x:v>ZAF Friends &amp; Family</x:v>
      </x:c>
      <x:c r="C85" s="37" t="str">
        <x:v>FAM-06</x:v>
      </x:c>
      <x:c r="D85" s="37" t="str">
        <x:v>Search, filters, lists &amp; directories</x:v>
      </x:c>
      <x:c r="E85" s="37" t="str">
        <x:v>Must</x:v>
      </x:c>
      <x:c r="F85" s="37" t="str">
        <x:v>Strict-route gate</x:v>
      </x:c>
      <x:c r="G85" s="37" t="str">
        <x:v>ZAF Friends &amp; Family: Searchable libraries, member lists, catalog browsing, and filtered views.</x:v>
      </x:c>
      <x:c r="H85" s="38" t="str">
        <x:v>Passcode onboarding, secondary profile/passport, starter stickers, role/job directory, beta feedback loop.</x:v>
      </x:c>
    </x:row>
    <x:row r="86" ht="48" customHeight="1">
      <x:c r="A86" s="60" t="str">
        <x:v>DOS-005</x:v>
      </x:c>
      <x:c r="B86" s="37" t="str">
        <x:v>ZAF Friends &amp; Family</x:v>
      </x:c>
      <x:c r="C86" s="37" t="str">
        <x:v>FAM-15</x:v>
      </x:c>
      <x:c r="D86" s="37" t="str">
        <x:v>Social, realtime &amp; collaboration</x:v>
      </x:c>
      <x:c r="E86" s="37" t="str">
        <x:v>Must</x:v>
      </x:c>
      <x:c r="F86" s="37" t="str">
        <x:v>Strict-route gate</x:v>
      </x:c>
      <x:c r="G86" s="37" t="str">
        <x:v>ZAF Friends &amp; Family: Feeds, messaging, groups, sharing, realtime updates, or multi-user creation.</x:v>
      </x:c>
      <x:c r="H86" s="38" t="str">
        <x:v>Passcode onboarding, secondary profile/passport, starter stickers, role/job directory, beta feedback loop.</x:v>
      </x:c>
    </x:row>
    <x:row r="87" ht="48" customHeight="1">
      <x:c r="A87" s="60" t="str">
        <x:v>DOS-005</x:v>
      </x:c>
      <x:c r="B87" s="37" t="str">
        <x:v>ZAF Friends &amp; Family</x:v>
      </x:c>
      <x:c r="C87" s="37" t="str">
        <x:v>FAM-16</x:v>
      </x:c>
      <x:c r="D87" s="37" t="str">
        <x:v>Content moderation &amp; reporting</x:v>
      </x:c>
      <x:c r="E87" s="37" t="str">
        <x:v>Must</x:v>
      </x:c>
      <x:c r="F87" s="37" t="str">
        <x:v>Strict-route gate</x:v>
      </x:c>
      <x:c r="G87" s="37" t="str">
        <x:v>ZAF Friends &amp; Family: Reports, queues, permissions, review actions, and community safety controls.</x:v>
      </x:c>
      <x:c r="H87" s="38" t="str">
        <x:v>Passcode onboarding, secondary profile/passport, starter stickers, role/job directory, beta feedback loop.</x:v>
      </x:c>
    </x:row>
    <x:row r="88" ht="48" customHeight="1">
      <x:c r="A88" s="60" t="str">
        <x:v>DOS-005</x:v>
      </x:c>
      <x:c r="B88" s="37" t="str">
        <x:v>ZAF Friends &amp; Family</x:v>
      </x:c>
      <x:c r="C88" s="37" t="str">
        <x:v>FAM-23</x:v>
      </x:c>
      <x:c r="D88" s="37" t="str">
        <x:v>Public website, SEO &amp; domain control</x:v>
      </x:c>
      <x:c r="E88" s="37" t="str">
        <x:v>Must</x:v>
      </x:c>
      <x:c r="F88" s="37" t="str">
        <x:v>Strict-route gate</x:v>
      </x:c>
      <x:c r="G88" s="37" t="str">
        <x:v>ZAF Friends &amp; Family: Public pages, discoverability, custom domain, shareability, and search metadata.</x:v>
      </x:c>
      <x:c r="H88" s="38" t="str">
        <x:v>Passcode onboarding, secondary profile/passport, starter stickers, role/job directory, beta feedback loop.</x:v>
      </x:c>
    </x:row>
    <x:row r="89" ht="48" customHeight="1">
      <x:c r="A89" s="60" t="str">
        <x:v>DOS-005</x:v>
      </x:c>
      <x:c r="B89" s="37" t="str">
        <x:v>ZAF Friends &amp; Family</x:v>
      </x:c>
      <x:c r="C89" s="37" t="str">
        <x:v>FAM-26</x:v>
      </x:c>
      <x:c r="D89" s="37" t="str">
        <x:v>Admin, CMS &amp; operational management</x:v>
      </x:c>
      <x:c r="E89" s="37" t="str">
        <x:v>Must</x:v>
      </x:c>
      <x:c r="F89" s="37" t="str">
        <x:v>Strict-route gate</x:v>
      </x:c>
      <x:c r="G89" s="37" t="str">
        <x:v>ZAF Friends &amp; Family: Admin views, content management, operational review, and human overrides.</x:v>
      </x:c>
      <x:c r="H89" s="38" t="str">
        <x:v>Passcode onboarding, secondary profile/passport, starter stickers, role/job directory, beta feedback loop.</x:v>
      </x:c>
    </x:row>
    <x:row r="90" ht="48" customHeight="1">
      <x:c r="A90" s="60" t="str">
        <x:v>DOS-005</x:v>
      </x:c>
      <x:c r="B90" s="37" t="str">
        <x:v>ZAF Friends &amp; Family</x:v>
      </x:c>
      <x:c r="C90" s="37" t="str">
        <x:v>FAM-02</x:v>
      </x:c>
      <x:c r="D90" s="37" t="str">
        <x:v>Android/mobile builder workability</x:v>
      </x:c>
      <x:c r="E90" s="37" t="str">
        <x:v>Important</x:v>
      </x:c>
      <x:c r="F90" s="37" t="str">
        <x:v>Score after gates</x:v>
      </x:c>
      <x:c r="G90" s="37" t="str">
        <x:v>ZAF Friends &amp; Family: Derek can build, edit, preview, test, and deploy with reasonable Android/mobile friction.</x:v>
      </x:c>
      <x:c r="H90" s="38" t="str">
        <x:v>Use simple role-based pages and manual coordination before advanced reward automation.</x:v>
      </x:c>
    </x:row>
    <x:row r="91" ht="48" customHeight="1">
      <x:c r="A91" s="60" t="str">
        <x:v>DOS-005</x:v>
      </x:c>
      <x:c r="B91" s="37" t="str">
        <x:v>ZAF Friends &amp; Family</x:v>
      </x:c>
      <x:c r="C91" s="37" t="str">
        <x:v>FAM-07</x:v>
      </x:c>
      <x:c r="D91" s="37" t="str">
        <x:v>File intake, storage &amp; lifecycle</x:v>
      </x:c>
      <x:c r="E91" s="37" t="str">
        <x:v>Important</x:v>
      </x:c>
      <x:c r="F91" s="37" t="str">
        <x:v>Score after gates</x:v>
      </x:c>
      <x:c r="G91" s="37" t="str">
        <x:v>ZAF Friends &amp; Family: Upload/import, validation, storage, retention, and file-size handling.</x:v>
      </x:c>
      <x:c r="H91" s="38" t="str">
        <x:v>Use simple role-based pages and manual coordination before advanced reward automation.</x:v>
      </x:c>
    </x:row>
    <x:row r="92" ht="48" customHeight="1">
      <x:c r="A92" s="60" t="str">
        <x:v>DOS-005</x:v>
      </x:c>
      <x:c r="B92" s="37" t="str">
        <x:v>ZAF Friends &amp; Family</x:v>
      </x:c>
      <x:c r="C92" s="37" t="str">
        <x:v>FAM-19</x:v>
      </x:c>
      <x:c r="D92" s="37" t="str">
        <x:v>Rewards, badges &amp; entitlements</x:v>
      </x:c>
      <x:c r="E92" s="37" t="str">
        <x:v>Important</x:v>
      </x:c>
      <x:c r="F92" s="37" t="str">
        <x:v>Score after gates</x:v>
      </x:c>
      <x:c r="G92" s="37" t="str">
        <x:v>ZAF Friends &amp; Family: Loyalty, roles, rewards, badges, credits, and access logic.</x:v>
      </x:c>
      <x:c r="H92" s="38" t="str">
        <x:v>Use simple role-based pages and manual coordination before advanced reward automation.</x:v>
      </x:c>
    </x:row>
    <x:row r="93" ht="48" customHeight="1">
      <x:c r="A93" s="60" t="str">
        <x:v>DOS-005</x:v>
      </x:c>
      <x:c r="B93" s="37" t="str">
        <x:v>ZAF Friends &amp; Family</x:v>
      </x:c>
      <x:c r="C93" s="37" t="str">
        <x:v>FAM-20</x:v>
      </x:c>
      <x:c r="D93" s="37" t="str">
        <x:v>Notifications, reminders &amp; deadlines</x:v>
      </x:c>
      <x:c r="E93" s="37" t="str">
        <x:v>Important</x:v>
      </x:c>
      <x:c r="F93" s="37" t="str">
        <x:v>Score after gates</x:v>
      </x:c>
      <x:c r="G93" s="37" t="str">
        <x:v>ZAF Friends &amp; Family: Push/email/in-app reminders, scheduled tasks, and time-bound flows.</x:v>
      </x:c>
      <x:c r="H93" s="38" t="str">
        <x:v>Use simple role-based pages and manual coordination before advanced reward automation.</x:v>
      </x:c>
    </x:row>
    <x:row r="94" ht="48" customHeight="1">
      <x:c r="A94" s="60" t="str">
        <x:v>DOS-005</x:v>
      </x:c>
      <x:c r="B94" s="37" t="str">
        <x:v>ZAF Friends &amp; Family</x:v>
      </x:c>
      <x:c r="C94" s="37" t="str">
        <x:v>FAM-25</x:v>
      </x:c>
      <x:c r="D94" s="37" t="str">
        <x:v>Analytics, reporting &amp; decision dashboards</x:v>
      </x:c>
      <x:c r="E94" s="37" t="str">
        <x:v>Important</x:v>
      </x:c>
      <x:c r="F94" s="37" t="str">
        <x:v>Score after gates</x:v>
      </x:c>
      <x:c r="G94" s="37" t="str">
        <x:v>ZAF Friends &amp; Family: Usage metrics, charts, rankings, reporting, and decision support.</x:v>
      </x:c>
      <x:c r="H94" s="38" t="str">
        <x:v>Use simple role-based pages and manual coordination before advanced reward automation.</x:v>
      </x:c>
    </x:row>
    <x:row r="95" ht="48" customHeight="1">
      <x:c r="A95" s="60" t="str">
        <x:v>DOS-005</x:v>
      </x:c>
      <x:c r="B95" s="37" t="str">
        <x:v>ZAF Friends &amp; Family</x:v>
      </x:c>
      <x:c r="C95" s="37" t="str">
        <x:v>FAM-27</x:v>
      </x:c>
      <x:c r="D95" s="37" t="str">
        <x:v>Portability, ownership &amp; escape path</x:v>
      </x:c>
      <x:c r="E95" s="37" t="str">
        <x:v>Important</x:v>
      </x:c>
      <x:c r="F95" s="37" t="str">
        <x:v>Score after gates</x:v>
      </x:c>
      <x:c r="G95" s="37" t="str">
        <x:v>ZAF Friends &amp; Family: Code/data export, GitHub, custom domains, migration, and lock-in control.</x:v>
      </x:c>
      <x:c r="H95" s="38" t="str">
        <x:v>Use simple role-based pages and manual coordination before advanced reward automation.</x:v>
      </x:c>
    </x:row>
    <x:row r="96" ht="48" customHeight="1">
      <x:c r="A96" s="60" t="str">
        <x:v>DOS-005</x:v>
      </x:c>
      <x:c r="B96" s="37" t="str">
        <x:v>ZAF Friends &amp; Family</x:v>
      </x:c>
      <x:c r="C96" s="37" t="str">
        <x:v>FAM-30</x:v>
      </x:c>
      <x:c r="D96" s="37" t="str">
        <x:v>Installability, offline &amp; push</x:v>
      </x:c>
      <x:c r="E96" s="37" t="str">
        <x:v>Important</x:v>
      </x:c>
      <x:c r="F96" s="37" t="str">
        <x:v>Score after gates</x:v>
      </x:c>
      <x:c r="G96" s="37" t="str">
        <x:v>ZAF Friends &amp; Family: Installable PWA behavior, service worker/offline needs, and device push.</x:v>
      </x:c>
      <x:c r="H96" s="38" t="str">
        <x:v>Use simple role-based pages and manual coordination before advanced reward automation.</x:v>
      </x:c>
    </x:row>
    <x:row r="97" ht="48" customHeight="1">
      <x:c r="A97" s="60" t="str">
        <x:v>DOS-005</x:v>
      </x:c>
      <x:c r="B97" s="37" t="str">
        <x:v>ZAF Friends &amp; Family</x:v>
      </x:c>
      <x:c r="C97" s="37" t="str">
        <x:v>FAM-35</x:v>
      </x:c>
      <x:c r="D97" s="37" t="str">
        <x:v>Privacy, consent &amp; audit trail</x:v>
      </x:c>
      <x:c r="E97" s="37" t="str">
        <x:v>Important</x:v>
      </x:c>
      <x:c r="F97" s="37" t="str">
        <x:v>Score after gates</x:v>
      </x:c>
      <x:c r="G97" s="37" t="str">
        <x:v>ZAF Friends &amp; Family: Consent, retention, access controls, provenance, and auditable actions.</x:v>
      </x:c>
      <x:c r="H97" s="38" t="str">
        <x:v>Use simple role-based pages and manual coordination before advanced reward automation.</x:v>
      </x:c>
    </x:row>
    <x:row r="98" ht="48" customHeight="1">
      <x:c r="A98" s="60" t="str">
        <x:v>DOS-005</x:v>
      </x:c>
      <x:c r="B98" s="37" t="str">
        <x:v>ZAF Friends &amp; Family</x:v>
      </x:c>
      <x:c r="C98" s="37" t="str">
        <x:v>FAM-08</x:v>
      </x:c>
      <x:c r="D98" s="37" t="str">
        <x:v>Image generation &amp; visual workflow</x:v>
      </x:c>
      <x:c r="E98" s="37" t="str">
        <x:v>Expansion</x:v>
      </x:c>
      <x:c r="F98" s="37" t="str">
        <x:v>Flexible / later only</x:v>
      </x:c>
      <x:c r="G98" s="37" t="str">
        <x:v>ZAF Friends &amp; Family: Image creation or intake, visual consistency, thumbnails, variants, and review.</x:v>
      </x:c>
      <x:c r="H98" s="38" t="str">
        <x:v>Community operations hub, loyalty automation, hidden experiences, task guidance.</x:v>
      </x:c>
    </x:row>
    <x:row r="99" ht="48" customHeight="1">
      <x:c r="A99" s="60" t="str">
        <x:v>DOS-005</x:v>
      </x:c>
      <x:c r="B99" s="37" t="str">
        <x:v>ZAF Friends &amp; Family</x:v>
      </x:c>
      <x:c r="C99" s="37" t="str">
        <x:v>FAM-10</x:v>
      </x:c>
      <x:c r="D99" s="37" t="str">
        <x:v>Video, reels &amp; slideshow workflow</x:v>
      </x:c>
      <x:c r="E99" s="37" t="str">
        <x:v>Expansion</x:v>
      </x:c>
      <x:c r="F99" s="37" t="str">
        <x:v>Flexible / later only</x:v>
      </x:c>
      <x:c r="G99" s="37" t="str">
        <x:v>ZAF Friends &amp; Family: Video playback/upload, timed slideshows, reels, rendering, and video export.</x:v>
      </x:c>
      <x:c r="H99" s="38" t="str">
        <x:v>Community operations hub, loyalty automation, hidden experiences, task guidance.</x:v>
      </x:c>
    </x:row>
    <x:row r="100" ht="48" customHeight="1">
      <x:c r="A100" s="60" t="str">
        <x:v>DOS-005</x:v>
      </x:c>
      <x:c r="B100" s="37" t="str">
        <x:v>ZAF Friends &amp; Family</x:v>
      </x:c>
      <x:c r="C100" s="37" t="str">
        <x:v>FAM-17</x:v>
      </x:c>
      <x:c r="D100" s="37" t="str">
        <x:v>Payments, subscriptions &amp; billing</x:v>
      </x:c>
      <x:c r="E100" s="37" t="str">
        <x:v>Expansion</x:v>
      </x:c>
      <x:c r="F100" s="37" t="str">
        <x:v>Flexible / later only</x:v>
      </x:c>
      <x:c r="G100" s="37" t="str">
        <x:v>ZAF Friends &amp; Family: Payments, subscriptions, checkout, entitlements, and billing-aware workflows.</x:v>
      </x:c>
      <x:c r="H100" s="38" t="str">
        <x:v>Community operations hub, loyalty automation, hidden experiences, task guidance.</x:v>
      </x:c>
    </x:row>
    <x:row r="101" ht="48" customHeight="1">
      <x:c r="A101" s="60" t="str">
        <x:v>DOS-005</x:v>
      </x:c>
      <x:c r="B101" s="37" t="str">
        <x:v>ZAF Friends &amp; Family</x:v>
      </x:c>
      <x:c r="C101" s="37" t="str">
        <x:v>FAM-21</x:v>
      </x:c>
      <x:c r="D101" s="37" t="str">
        <x:v>Automations, webhooks &amp; scheduled jobs</x:v>
      </x:c>
      <x:c r="E101" s="37" t="str">
        <x:v>Expansion</x:v>
      </x:c>
      <x:c r="F101" s="37" t="str">
        <x:v>Flexible / later only</x:v>
      </x:c>
      <x:c r="G101" s="37" t="str">
        <x:v>ZAF Friends &amp; Family: Event-driven workflows, scheduled tasks, background processes, and webhooks.</x:v>
      </x:c>
      <x:c r="H101" s="38" t="str">
        <x:v>Community operations hub, loyalty automation, hidden experiences, task guidance.</x:v>
      </x:c>
    </x:row>
    <x:row r="102" ht="48" customHeight="1">
      <x:c r="A102" s="60" t="str">
        <x:v>DOS-005</x:v>
      </x:c>
      <x:c r="B102" s="37" t="str">
        <x:v>ZAF Friends &amp; Family</x:v>
      </x:c>
      <x:c r="C102" s="37" t="str">
        <x:v>FAM-37</x:v>
      </x:c>
      <x:c r="D102" s="37" t="str">
        <x:v>Gamification, challenges &amp; progression</x:v>
      </x:c>
      <x:c r="E102" s="37" t="str">
        <x:v>Expansion</x:v>
      </x:c>
      <x:c r="F102" s="37" t="str">
        <x:v>Flexible / later only</x:v>
      </x:c>
      <x:c r="G102" s="37" t="str">
        <x:v>ZAF Friends &amp; Family: Challenges, points, levels, voting, collection, and progress systems.</x:v>
      </x:c>
      <x:c r="H102" s="38" t="str">
        <x:v>Community operations hub, loyalty automation, hidden experiences, task guidance.</x:v>
      </x:c>
    </x:row>
    <x:row r="103" ht="48" customHeight="1">
      <x:c r="A103" s="60" t="str">
        <x:v>DOS-006</x:v>
      </x:c>
      <x:c r="B103" s="37" t="str">
        <x:v>zaf.radio</x:v>
      </x:c>
      <x:c r="C103" s="37" t="str">
        <x:v>FAM-01</x:v>
      </x:c>
      <x:c r="D103" s="37" t="str">
        <x:v>Responsive web / PWA interface</x:v>
      </x:c>
      <x:c r="E103" s="37" t="str">
        <x:v>Must</x:v>
      </x:c>
      <x:c r="F103" s="37" t="str">
        <x:v>Strict-route gate</x:v>
      </x:c>
      <x:c r="G103" s="37" t="str">
        <x:v>zaf.radio: Mobile-first responsive screens and app-like web navigation.</x:v>
      </x:c>
      <x:c r="H103" s="38" t="str">
        <x:v>Vertical feed, upload/ingest rules, first content model, basic discovery tags, reporting/moderation.</x:v>
      </x:c>
    </x:row>
    <x:row r="104" ht="48" customHeight="1">
      <x:c r="A104" s="60" t="str">
        <x:v>DOS-006</x:v>
      </x:c>
      <x:c r="B104" s="37" t="str">
        <x:v>zaf.radio</x:v>
      </x:c>
      <x:c r="C104" s="37" t="str">
        <x:v>FAM-03</x:v>
      </x:c>
      <x:c r="D104" s="37" t="str">
        <x:v>Authentication, identity &amp; roles</x:v>
      </x:c>
      <x:c r="E104" s="37" t="str">
        <x:v>Must</x:v>
      </x:c>
      <x:c r="F104" s="37" t="str">
        <x:v>Strict-route gate</x:v>
      </x:c>
      <x:c r="G104" s="37" t="str">
        <x:v>zaf.radio: Sign-in, role-aware access, member identity, and permissions.</x:v>
      </x:c>
      <x:c r="H104" s="38" t="str">
        <x:v>Vertical feed, upload/ingest rules, first content model, basic discovery tags, reporting/moderation.</x:v>
      </x:c>
    </x:row>
    <x:row r="105" ht="48" customHeight="1">
      <x:c r="A105" s="60" t="str">
        <x:v>DOS-006</x:v>
      </x:c>
      <x:c r="B105" s="37" t="str">
        <x:v>zaf.radio</x:v>
      </x:c>
      <x:c r="C105" s="37" t="str">
        <x:v>FAM-04</x:v>
      </x:c>
      <x:c r="D105" s="37" t="str">
        <x:v>Profiles, portfolios &amp; relationship records</x:v>
      </x:c>
      <x:c r="E105" s="37" t="str">
        <x:v>Must</x:v>
      </x:c>
      <x:c r="F105" s="37" t="str">
        <x:v>Strict-route gate</x:v>
      </x:c>
      <x:c r="G105" s="37" t="str">
        <x:v>zaf.radio: Persistent user/member/creator profiles and linked relationships.</x:v>
      </x:c>
      <x:c r="H105" s="38" t="str">
        <x:v>Vertical feed, upload/ingest rules, first content model, basic discovery tags, reporting/moderation.</x:v>
      </x:c>
    </x:row>
    <x:row r="106" ht="48" customHeight="1">
      <x:c r="A106" s="60" t="str">
        <x:v>DOS-006</x:v>
      </x:c>
      <x:c r="B106" s="37" t="str">
        <x:v>zaf.radio</x:v>
      </x:c>
      <x:c r="C106" s="37" t="str">
        <x:v>FAM-05</x:v>
      </x:c>
      <x:c r="D106" s="37" t="str">
        <x:v>Structured database &amp; persistent records</x:v>
      </x:c>
      <x:c r="E106" s="37" t="str">
        <x:v>Must</x:v>
      </x:c>
      <x:c r="F106" s="37" t="str">
        <x:v>Strict-route gate</x:v>
      </x:c>
      <x:c r="G106" s="37" t="str">
        <x:v>zaf.radio: Reliable structured data storage, retrieval, and updates.</x:v>
      </x:c>
      <x:c r="H106" s="38" t="str">
        <x:v>Vertical feed, upload/ingest rules, first content model, basic discovery tags, reporting/moderation.</x:v>
      </x:c>
    </x:row>
    <x:row r="107" ht="48" customHeight="1">
      <x:c r="A107" s="60" t="str">
        <x:v>DOS-006</x:v>
      </x:c>
      <x:c r="B107" s="37" t="str">
        <x:v>zaf.radio</x:v>
      </x:c>
      <x:c r="C107" s="37" t="str">
        <x:v>FAM-06</x:v>
      </x:c>
      <x:c r="D107" s="37" t="str">
        <x:v>Search, filters, lists &amp; directories</x:v>
      </x:c>
      <x:c r="E107" s="37" t="str">
        <x:v>Must</x:v>
      </x:c>
      <x:c r="F107" s="37" t="str">
        <x:v>Strict-route gate</x:v>
      </x:c>
      <x:c r="G107" s="37" t="str">
        <x:v>zaf.radio: Searchable libraries, member lists, catalog browsing, and filtered views.</x:v>
      </x:c>
      <x:c r="H107" s="38" t="str">
        <x:v>Vertical feed, upload/ingest rules, first content model, basic discovery tags, reporting/moderation.</x:v>
      </x:c>
    </x:row>
    <x:row r="108" ht="48" customHeight="1">
      <x:c r="A108" s="60" t="str">
        <x:v>DOS-006</x:v>
      </x:c>
      <x:c r="B108" s="37" t="str">
        <x:v>zaf.radio</x:v>
      </x:c>
      <x:c r="C108" s="37" t="str">
        <x:v>FAM-15</x:v>
      </x:c>
      <x:c r="D108" s="37" t="str">
        <x:v>Social, realtime &amp; collaboration</x:v>
      </x:c>
      <x:c r="E108" s="37" t="str">
        <x:v>Must</x:v>
      </x:c>
      <x:c r="F108" s="37" t="str">
        <x:v>Strict-route gate</x:v>
      </x:c>
      <x:c r="G108" s="37" t="str">
        <x:v>zaf.radio: Feeds, messaging, groups, sharing, realtime updates, or multi-user creation.</x:v>
      </x:c>
      <x:c r="H108" s="38" t="str">
        <x:v>Vertical feed, upload/ingest rules, first content model, basic discovery tags, reporting/moderation.</x:v>
      </x:c>
    </x:row>
    <x:row r="109" ht="48" customHeight="1">
      <x:c r="A109" s="60" t="str">
        <x:v>DOS-006</x:v>
      </x:c>
      <x:c r="B109" s="37" t="str">
        <x:v>zaf.radio</x:v>
      </x:c>
      <x:c r="C109" s="37" t="str">
        <x:v>FAM-16</x:v>
      </x:c>
      <x:c r="D109" s="37" t="str">
        <x:v>Content moderation &amp; reporting</x:v>
      </x:c>
      <x:c r="E109" s="37" t="str">
        <x:v>Must</x:v>
      </x:c>
      <x:c r="F109" s="37" t="str">
        <x:v>Strict-route gate</x:v>
      </x:c>
      <x:c r="G109" s="37" t="str">
        <x:v>zaf.radio: Reports, queues, permissions, review actions, and community safety controls.</x:v>
      </x:c>
      <x:c r="H109" s="38" t="str">
        <x:v>Vertical feed, upload/ingest rules, first content model, basic discovery tags, reporting/moderation.</x:v>
      </x:c>
    </x:row>
    <x:row r="110" ht="48" customHeight="1">
      <x:c r="A110" s="60" t="str">
        <x:v>DOS-006</x:v>
      </x:c>
      <x:c r="B110" s="37" t="str">
        <x:v>zaf.radio</x:v>
      </x:c>
      <x:c r="C110" s="37" t="str">
        <x:v>FAM-23</x:v>
      </x:c>
      <x:c r="D110" s="37" t="str">
        <x:v>Public website, SEO &amp; domain control</x:v>
      </x:c>
      <x:c r="E110" s="37" t="str">
        <x:v>Must</x:v>
      </x:c>
      <x:c r="F110" s="37" t="str">
        <x:v>Strict-route gate</x:v>
      </x:c>
      <x:c r="G110" s="37" t="str">
        <x:v>zaf.radio: Public pages, discoverability, custom domain, shareability, and search metadata.</x:v>
      </x:c>
      <x:c r="H110" s="38" t="str">
        <x:v>Vertical feed, upload/ingest rules, first content model, basic discovery tags, reporting/moderation.</x:v>
      </x:c>
    </x:row>
    <x:row r="111" ht="48" customHeight="1">
      <x:c r="A111" s="60" t="str">
        <x:v>DOS-006</x:v>
      </x:c>
      <x:c r="B111" s="37" t="str">
        <x:v>zaf.radio</x:v>
      </x:c>
      <x:c r="C111" s="37" t="str">
        <x:v>FAM-26</x:v>
      </x:c>
      <x:c r="D111" s="37" t="str">
        <x:v>Admin, CMS &amp; operational management</x:v>
      </x:c>
      <x:c r="E111" s="37" t="str">
        <x:v>Must</x:v>
      </x:c>
      <x:c r="F111" s="37" t="str">
        <x:v>Strict-route gate</x:v>
      </x:c>
      <x:c r="G111" s="37" t="str">
        <x:v>zaf.radio: Admin views, content management, operational review, and human overrides.</x:v>
      </x:c>
      <x:c r="H111" s="38" t="str">
        <x:v>Vertical feed, upload/ingest rules, first content model, basic discovery tags, reporting/moderation.</x:v>
      </x:c>
    </x:row>
    <x:row r="112" ht="48" customHeight="1">
      <x:c r="A112" s="60" t="str">
        <x:v>DOS-006</x:v>
      </x:c>
      <x:c r="B112" s="37" t="str">
        <x:v>zaf.radio</x:v>
      </x:c>
      <x:c r="C112" s="37" t="str">
        <x:v>FAM-02</x:v>
      </x:c>
      <x:c r="D112" s="37" t="str">
        <x:v>Android/mobile builder workability</x:v>
      </x:c>
      <x:c r="E112" s="37" t="str">
        <x:v>Important</x:v>
      </x:c>
      <x:c r="F112" s="37" t="str">
        <x:v>Score after gates</x:v>
      </x:c>
      <x:c r="G112" s="37" t="str">
        <x:v>zaf.radio: Derek can build, edit, preview, test, and deploy with reasonable Android/mobile friction.</x:v>
      </x:c>
      <x:c r="H112" s="38" t="str">
        <x:v>Use external-hosted/video-link first; defer full hosted video/recommendation engine.</x:v>
      </x:c>
    </x:row>
    <x:row r="113" ht="48" customHeight="1">
      <x:c r="A113" s="60" t="str">
        <x:v>DOS-006</x:v>
      </x:c>
      <x:c r="B113" s="37" t="str">
        <x:v>zaf.radio</x:v>
      </x:c>
      <x:c r="C113" s="37" t="str">
        <x:v>FAM-07</x:v>
      </x:c>
      <x:c r="D113" s="37" t="str">
        <x:v>File intake, storage &amp; lifecycle</x:v>
      </x:c>
      <x:c r="E113" s="37" t="str">
        <x:v>Important</x:v>
      </x:c>
      <x:c r="F113" s="37" t="str">
        <x:v>Score after gates</x:v>
      </x:c>
      <x:c r="G113" s="37" t="str">
        <x:v>zaf.radio: Upload/import, validation, storage, retention, and file-size handling.</x:v>
      </x:c>
      <x:c r="H113" s="38" t="str">
        <x:v>Use external-hosted/video-link first; defer full hosted video/recommendation engine.</x:v>
      </x:c>
    </x:row>
    <x:row r="114" ht="48" customHeight="1">
      <x:c r="A114" s="60" t="str">
        <x:v>DOS-006</x:v>
      </x:c>
      <x:c r="B114" s="37" t="str">
        <x:v>zaf.radio</x:v>
      </x:c>
      <x:c r="C114" s="37" t="str">
        <x:v>FAM-19</x:v>
      </x:c>
      <x:c r="D114" s="37" t="str">
        <x:v>Rewards, badges &amp; entitlements</x:v>
      </x:c>
      <x:c r="E114" s="37" t="str">
        <x:v>Important</x:v>
      </x:c>
      <x:c r="F114" s="37" t="str">
        <x:v>Score after gates</x:v>
      </x:c>
      <x:c r="G114" s="37" t="str">
        <x:v>zaf.radio: Loyalty, roles, rewards, badges, credits, and access logic.</x:v>
      </x:c>
      <x:c r="H114" s="38" t="str">
        <x:v>Use external-hosted/video-link first; defer full hosted video/recommendation engine.</x:v>
      </x:c>
    </x:row>
    <x:row r="115" ht="48" customHeight="1">
      <x:c r="A115" s="60" t="str">
        <x:v>DOS-006</x:v>
      </x:c>
      <x:c r="B115" s="37" t="str">
        <x:v>zaf.radio</x:v>
      </x:c>
      <x:c r="C115" s="37" t="str">
        <x:v>FAM-20</x:v>
      </x:c>
      <x:c r="D115" s="37" t="str">
        <x:v>Notifications, reminders &amp; deadlines</x:v>
      </x:c>
      <x:c r="E115" s="37" t="str">
        <x:v>Important</x:v>
      </x:c>
      <x:c r="F115" s="37" t="str">
        <x:v>Score after gates</x:v>
      </x:c>
      <x:c r="G115" s="37" t="str">
        <x:v>zaf.radio: Push/email/in-app reminders, scheduled tasks, and time-bound flows.</x:v>
      </x:c>
      <x:c r="H115" s="38" t="str">
        <x:v>Use external-hosted/video-link first; defer full hosted video/recommendation engine.</x:v>
      </x:c>
    </x:row>
    <x:row r="116" ht="48" customHeight="1">
      <x:c r="A116" s="60" t="str">
        <x:v>DOS-006</x:v>
      </x:c>
      <x:c r="B116" s="37" t="str">
        <x:v>zaf.radio</x:v>
      </x:c>
      <x:c r="C116" s="37" t="str">
        <x:v>FAM-25</x:v>
      </x:c>
      <x:c r="D116" s="37" t="str">
        <x:v>Analytics, reporting &amp; decision dashboards</x:v>
      </x:c>
      <x:c r="E116" s="37" t="str">
        <x:v>Important</x:v>
      </x:c>
      <x:c r="F116" s="37" t="str">
        <x:v>Score after gates</x:v>
      </x:c>
      <x:c r="G116" s="37" t="str">
        <x:v>zaf.radio: Usage metrics, charts, rankings, reporting, and decision support.</x:v>
      </x:c>
      <x:c r="H116" s="38" t="str">
        <x:v>Use external-hosted/video-link first; defer full hosted video/recommendation engine.</x:v>
      </x:c>
    </x:row>
    <x:row r="117" ht="48" customHeight="1">
      <x:c r="A117" s="60" t="str">
        <x:v>DOS-006</x:v>
      </x:c>
      <x:c r="B117" s="37" t="str">
        <x:v>zaf.radio</x:v>
      </x:c>
      <x:c r="C117" s="37" t="str">
        <x:v>FAM-27</x:v>
      </x:c>
      <x:c r="D117" s="37" t="str">
        <x:v>Portability, ownership &amp; escape path</x:v>
      </x:c>
      <x:c r="E117" s="37" t="str">
        <x:v>Important</x:v>
      </x:c>
      <x:c r="F117" s="37" t="str">
        <x:v>Score after gates</x:v>
      </x:c>
      <x:c r="G117" s="37" t="str">
        <x:v>zaf.radio: Code/data export, GitHub, custom domains, migration, and lock-in control.</x:v>
      </x:c>
      <x:c r="H117" s="38" t="str">
        <x:v>Use external-hosted/video-link first; defer full hosted video/recommendation engine.</x:v>
      </x:c>
    </x:row>
    <x:row r="118" ht="48" customHeight="1">
      <x:c r="A118" s="60" t="str">
        <x:v>DOS-006</x:v>
      </x:c>
      <x:c r="B118" s="37" t="str">
        <x:v>zaf.radio</x:v>
      </x:c>
      <x:c r="C118" s="37" t="str">
        <x:v>FAM-30</x:v>
      </x:c>
      <x:c r="D118" s="37" t="str">
        <x:v>Installability, offline &amp; push</x:v>
      </x:c>
      <x:c r="E118" s="37" t="str">
        <x:v>Important</x:v>
      </x:c>
      <x:c r="F118" s="37" t="str">
        <x:v>Score after gates</x:v>
      </x:c>
      <x:c r="G118" s="37" t="str">
        <x:v>zaf.radio: Installable PWA behavior, service worker/offline needs, and device push.</x:v>
      </x:c>
      <x:c r="H118" s="38" t="str">
        <x:v>Use external-hosted/video-link first; defer full hosted video/recommendation engine.</x:v>
      </x:c>
    </x:row>
    <x:row r="119" ht="48" customHeight="1">
      <x:c r="A119" s="60" t="str">
        <x:v>DOS-006</x:v>
      </x:c>
      <x:c r="B119" s="37" t="str">
        <x:v>zaf.radio</x:v>
      </x:c>
      <x:c r="C119" s="37" t="str">
        <x:v>FAM-35</x:v>
      </x:c>
      <x:c r="D119" s="37" t="str">
        <x:v>Privacy, consent &amp; audit trail</x:v>
      </x:c>
      <x:c r="E119" s="37" t="str">
        <x:v>Important</x:v>
      </x:c>
      <x:c r="F119" s="37" t="str">
        <x:v>Score after gates</x:v>
      </x:c>
      <x:c r="G119" s="37" t="str">
        <x:v>zaf.radio: Consent, retention, access controls, provenance, and auditable actions.</x:v>
      </x:c>
      <x:c r="H119" s="38" t="str">
        <x:v>Use external-hosted/video-link first; defer full hosted video/recommendation engine.</x:v>
      </x:c>
    </x:row>
    <x:row r="120" ht="48" customHeight="1">
      <x:c r="A120" s="60" t="str">
        <x:v>DOS-006</x:v>
      </x:c>
      <x:c r="B120" s="37" t="str">
        <x:v>zaf.radio</x:v>
      </x:c>
      <x:c r="C120" s="37" t="str">
        <x:v>FAM-08</x:v>
      </x:c>
      <x:c r="D120" s="37" t="str">
        <x:v>Image generation &amp; visual workflow</x:v>
      </x:c>
      <x:c r="E120" s="37" t="str">
        <x:v>Expansion</x:v>
      </x:c>
      <x:c r="F120" s="37" t="str">
        <x:v>Flexible / later only</x:v>
      </x:c>
      <x:c r="G120" s="37" t="str">
        <x:v>zaf.radio: Image creation or intake, visual consistency, thumbnails, variants, and review.</x:v>
      </x:c>
      <x:c r="H120" s="38" t="str">
        <x:v>Native upload pipeline, trends, creator analytics, chart integration, monetization.</x:v>
      </x:c>
    </x:row>
    <x:row r="121" ht="48" customHeight="1">
      <x:c r="A121" s="60" t="str">
        <x:v>DOS-006</x:v>
      </x:c>
      <x:c r="B121" s="37" t="str">
        <x:v>zaf.radio</x:v>
      </x:c>
      <x:c r="C121" s="37" t="str">
        <x:v>FAM-10</x:v>
      </x:c>
      <x:c r="D121" s="37" t="str">
        <x:v>Video, reels &amp; slideshow workflow</x:v>
      </x:c>
      <x:c r="E121" s="37" t="str">
        <x:v>Expansion</x:v>
      </x:c>
      <x:c r="F121" s="37" t="str">
        <x:v>Flexible / later only</x:v>
      </x:c>
      <x:c r="G121" s="37" t="str">
        <x:v>zaf.radio: Video playback/upload, timed slideshows, reels, rendering, and video export.</x:v>
      </x:c>
      <x:c r="H121" s="38" t="str">
        <x:v>Native upload pipeline, trends, creator analytics, chart integration, monetization.</x:v>
      </x:c>
    </x:row>
    <x:row r="122" ht="48" customHeight="1">
      <x:c r="A122" s="60" t="str">
        <x:v>DOS-006</x:v>
      </x:c>
      <x:c r="B122" s="37" t="str">
        <x:v>zaf.radio</x:v>
      </x:c>
      <x:c r="C122" s="37" t="str">
        <x:v>FAM-17</x:v>
      </x:c>
      <x:c r="D122" s="37" t="str">
        <x:v>Payments, subscriptions &amp; billing</x:v>
      </x:c>
      <x:c r="E122" s="37" t="str">
        <x:v>Expansion</x:v>
      </x:c>
      <x:c r="F122" s="37" t="str">
        <x:v>Flexible / later only</x:v>
      </x:c>
      <x:c r="G122" s="37" t="str">
        <x:v>zaf.radio: Payments, subscriptions, checkout, entitlements, and billing-aware workflows.</x:v>
      </x:c>
      <x:c r="H122" s="38" t="str">
        <x:v>Native upload pipeline, trends, creator analytics, chart integration, monetization.</x:v>
      </x:c>
    </x:row>
    <x:row r="123" ht="48" customHeight="1">
      <x:c r="A123" s="60" t="str">
        <x:v>DOS-006</x:v>
      </x:c>
      <x:c r="B123" s="37" t="str">
        <x:v>zaf.radio</x:v>
      </x:c>
      <x:c r="C123" s="37" t="str">
        <x:v>FAM-21</x:v>
      </x:c>
      <x:c r="D123" s="37" t="str">
        <x:v>Automations, webhooks &amp; scheduled jobs</x:v>
      </x:c>
      <x:c r="E123" s="37" t="str">
        <x:v>Expansion</x:v>
      </x:c>
      <x:c r="F123" s="37" t="str">
        <x:v>Flexible / later only</x:v>
      </x:c>
      <x:c r="G123" s="37" t="str">
        <x:v>zaf.radio: Event-driven workflows, scheduled tasks, background processes, and webhooks.</x:v>
      </x:c>
      <x:c r="H123" s="38" t="str">
        <x:v>Native upload pipeline, trends, creator analytics, chart integration, monetization.</x:v>
      </x:c>
    </x:row>
    <x:row r="124" ht="48" customHeight="1">
      <x:c r="A124" s="60" t="str">
        <x:v>DOS-006</x:v>
      </x:c>
      <x:c r="B124" s="37" t="str">
        <x:v>zaf.radio</x:v>
      </x:c>
      <x:c r="C124" s="37" t="str">
        <x:v>FAM-37</x:v>
      </x:c>
      <x:c r="D124" s="37" t="str">
        <x:v>Gamification, challenges &amp; progression</x:v>
      </x:c>
      <x:c r="E124" s="37" t="str">
        <x:v>Expansion</x:v>
      </x:c>
      <x:c r="F124" s="37" t="str">
        <x:v>Flexible / later only</x:v>
      </x:c>
      <x:c r="G124" s="37" t="str">
        <x:v>zaf.radio: Challenges, points, levels, voting, collection, and progress systems.</x:v>
      </x:c>
      <x:c r="H124" s="38" t="str">
        <x:v>Native upload pipeline, trends, creator analytics, chart integration, monetization.</x:v>
      </x:c>
    </x:row>
    <x:row r="125" ht="48" customHeight="1">
      <x:c r="A125" s="60" t="str">
        <x:v>DOS-007</x:v>
      </x:c>
      <x:c r="B125" s="37" t="str">
        <x:v>ZAF Prestige</x:v>
      </x:c>
      <x:c r="C125" s="37" t="str">
        <x:v>FAM-01</x:v>
      </x:c>
      <x:c r="D125" s="37" t="str">
        <x:v>Responsive web / PWA interface</x:v>
      </x:c>
      <x:c r="E125" s="37" t="str">
        <x:v>Must</x:v>
      </x:c>
      <x:c r="F125" s="37" t="str">
        <x:v>Strict-route gate</x:v>
      </x:c>
      <x:c r="G125" s="37" t="str">
        <x:v>ZAF Prestige: Mobile-first responsive screens and app-like web navigation.</x:v>
      </x:c>
      <x:c r="H125" s="38" t="str">
        <x:v>Recognition track, public honor profile, artifact/receipt template, eligibility rules, patronage landing path.</x:v>
      </x:c>
    </x:row>
    <x:row r="126" ht="48" customHeight="1">
      <x:c r="A126" s="60" t="str">
        <x:v>DOS-007</x:v>
      </x:c>
      <x:c r="B126" s="37" t="str">
        <x:v>ZAF Prestige</x:v>
      </x:c>
      <x:c r="C126" s="37" t="str">
        <x:v>FAM-03</x:v>
      </x:c>
      <x:c r="D126" s="37" t="str">
        <x:v>Authentication, identity &amp; roles</x:v>
      </x:c>
      <x:c r="E126" s="37" t="str">
        <x:v>Must</x:v>
      </x:c>
      <x:c r="F126" s="37" t="str">
        <x:v>Strict-route gate</x:v>
      </x:c>
      <x:c r="G126" s="37" t="str">
        <x:v>ZAF Prestige: Sign-in, role-aware access, member identity, and permissions.</x:v>
      </x:c>
      <x:c r="H126" s="38" t="str">
        <x:v>Recognition track, public honor profile, artifact/receipt template, eligibility rules, patronage landing path.</x:v>
      </x:c>
    </x:row>
    <x:row r="127" ht="48" customHeight="1">
      <x:c r="A127" s="60" t="str">
        <x:v>DOS-007</x:v>
      </x:c>
      <x:c r="B127" s="37" t="str">
        <x:v>ZAF Prestige</x:v>
      </x:c>
      <x:c r="C127" s="37" t="str">
        <x:v>FAM-04</x:v>
      </x:c>
      <x:c r="D127" s="37" t="str">
        <x:v>Profiles, portfolios &amp; relationship records</x:v>
      </x:c>
      <x:c r="E127" s="37" t="str">
        <x:v>Must</x:v>
      </x:c>
      <x:c r="F127" s="37" t="str">
        <x:v>Strict-route gate</x:v>
      </x:c>
      <x:c r="G127" s="37" t="str">
        <x:v>ZAF Prestige: Persistent user/member/creator profiles and linked relationships.</x:v>
      </x:c>
      <x:c r="H127" s="38" t="str">
        <x:v>Recognition track, public honor profile, artifact/receipt template, eligibility rules, patronage landing path.</x:v>
      </x:c>
    </x:row>
    <x:row r="128" ht="48" customHeight="1">
      <x:c r="A128" s="60" t="str">
        <x:v>DOS-007</x:v>
      </x:c>
      <x:c r="B128" s="37" t="str">
        <x:v>ZAF Prestige</x:v>
      </x:c>
      <x:c r="C128" s="37" t="str">
        <x:v>FAM-05</x:v>
      </x:c>
      <x:c r="D128" s="37" t="str">
        <x:v>Structured database &amp; persistent records</x:v>
      </x:c>
      <x:c r="E128" s="37" t="str">
        <x:v>Must</x:v>
      </x:c>
      <x:c r="F128" s="37" t="str">
        <x:v>Strict-route gate</x:v>
      </x:c>
      <x:c r="G128" s="37" t="str">
        <x:v>ZAF Prestige: Reliable structured data storage, retrieval, and updates.</x:v>
      </x:c>
      <x:c r="H128" s="38" t="str">
        <x:v>Recognition track, public honor profile, artifact/receipt template, eligibility rules, patronage landing path.</x:v>
      </x:c>
    </x:row>
    <x:row r="129" ht="48" customHeight="1">
      <x:c r="A129" s="60" t="str">
        <x:v>DOS-007</x:v>
      </x:c>
      <x:c r="B129" s="37" t="str">
        <x:v>ZAF Prestige</x:v>
      </x:c>
      <x:c r="C129" s="37" t="str">
        <x:v>FAM-06</x:v>
      </x:c>
      <x:c r="D129" s="37" t="str">
        <x:v>Search, filters, lists &amp; directories</x:v>
      </x:c>
      <x:c r="E129" s="37" t="str">
        <x:v>Must</x:v>
      </x:c>
      <x:c r="F129" s="37" t="str">
        <x:v>Strict-route gate</x:v>
      </x:c>
      <x:c r="G129" s="37" t="str">
        <x:v>ZAF Prestige: Searchable libraries, member lists, catalog browsing, and filtered views.</x:v>
      </x:c>
      <x:c r="H129" s="38" t="str">
        <x:v>Recognition track, public honor profile, artifact/receipt template, eligibility rules, patronage landing path.</x:v>
      </x:c>
    </x:row>
    <x:row r="130" ht="48" customHeight="1">
      <x:c r="A130" s="60" t="str">
        <x:v>DOS-007</x:v>
      </x:c>
      <x:c r="B130" s="37" t="str">
        <x:v>ZAF Prestige</x:v>
      </x:c>
      <x:c r="C130" s="37" t="str">
        <x:v>FAM-19</x:v>
      </x:c>
      <x:c r="D130" s="37" t="str">
        <x:v>Rewards, badges &amp; entitlements</x:v>
      </x:c>
      <x:c r="E130" s="37" t="str">
        <x:v>Must</x:v>
      </x:c>
      <x:c r="F130" s="37" t="str">
        <x:v>Strict-route gate</x:v>
      </x:c>
      <x:c r="G130" s="37" t="str">
        <x:v>ZAF Prestige: Loyalty, roles, rewards, badges, credits, and access logic.</x:v>
      </x:c>
      <x:c r="H130" s="38" t="str">
        <x:v>Recognition track, public honor profile, artifact/receipt template, eligibility rules, patronage landing path.</x:v>
      </x:c>
    </x:row>
    <x:row r="131" ht="48" customHeight="1">
      <x:c r="A131" s="60" t="str">
        <x:v>DOS-007</x:v>
      </x:c>
      <x:c r="B131" s="37" t="str">
        <x:v>ZAF Prestige</x:v>
      </x:c>
      <x:c r="C131" s="37" t="str">
        <x:v>FAM-23</x:v>
      </x:c>
      <x:c r="D131" s="37" t="str">
        <x:v>Public website, SEO &amp; domain control</x:v>
      </x:c>
      <x:c r="E131" s="37" t="str">
        <x:v>Must</x:v>
      </x:c>
      <x:c r="F131" s="37" t="str">
        <x:v>Strict-route gate</x:v>
      </x:c>
      <x:c r="G131" s="37" t="str">
        <x:v>ZAF Prestige: Public pages, discoverability, custom domain, shareability, and search metadata.</x:v>
      </x:c>
      <x:c r="H131" s="38" t="str">
        <x:v>Recognition track, public honor profile, artifact/receipt template, eligibility rules, patronage landing path.</x:v>
      </x:c>
    </x:row>
    <x:row r="132" ht="48" customHeight="1">
      <x:c r="A132" s="60" t="str">
        <x:v>DOS-007</x:v>
      </x:c>
      <x:c r="B132" s="37" t="str">
        <x:v>ZAF Prestige</x:v>
      </x:c>
      <x:c r="C132" s="37" t="str">
        <x:v>FAM-25</x:v>
      </x:c>
      <x:c r="D132" s="37" t="str">
        <x:v>Analytics, reporting &amp; decision dashboards</x:v>
      </x:c>
      <x:c r="E132" s="37" t="str">
        <x:v>Must</x:v>
      </x:c>
      <x:c r="F132" s="37" t="str">
        <x:v>Strict-route gate</x:v>
      </x:c>
      <x:c r="G132" s="37" t="str">
        <x:v>ZAF Prestige: Usage metrics, charts, rankings, reporting, and decision support.</x:v>
      </x:c>
      <x:c r="H132" s="38" t="str">
        <x:v>Recognition track, public honor profile, artifact/receipt template, eligibility rules, patronage landing path.</x:v>
      </x:c>
    </x:row>
    <x:row r="133" ht="48" customHeight="1">
      <x:c r="A133" s="60" t="str">
        <x:v>DOS-007</x:v>
      </x:c>
      <x:c r="B133" s="37" t="str">
        <x:v>ZAF Prestige</x:v>
      </x:c>
      <x:c r="C133" s="37" t="str">
        <x:v>FAM-26</x:v>
      </x:c>
      <x:c r="D133" s="37" t="str">
        <x:v>Admin, CMS &amp; operational management</x:v>
      </x:c>
      <x:c r="E133" s="37" t="str">
        <x:v>Must</x:v>
      </x:c>
      <x:c r="F133" s="37" t="str">
        <x:v>Strict-route gate</x:v>
      </x:c>
      <x:c r="G133" s="37" t="str">
        <x:v>ZAF Prestige: Admin views, content management, operational review, and human overrides.</x:v>
      </x:c>
      <x:c r="H133" s="38" t="str">
        <x:v>Recognition track, public honor profile, artifact/receipt template, eligibility rules, patronage landing path.</x:v>
      </x:c>
    </x:row>
    <x:row r="134" ht="48" customHeight="1">
      <x:c r="A134" s="60" t="str">
        <x:v>DOS-007</x:v>
      </x:c>
      <x:c r="B134" s="37" t="str">
        <x:v>ZAF Prestige</x:v>
      </x:c>
      <x:c r="C134" s="37" t="str">
        <x:v>FAM-02</x:v>
      </x:c>
      <x:c r="D134" s="37" t="str">
        <x:v>Android/mobile builder workability</x:v>
      </x:c>
      <x:c r="E134" s="37" t="str">
        <x:v>Important</x:v>
      </x:c>
      <x:c r="F134" s="37" t="str">
        <x:v>Score after gates</x:v>
      </x:c>
      <x:c r="G134" s="37" t="str">
        <x:v>ZAF Prestige: Derek can build, edit, preview, test, and deploy with reasonable Android/mobile friction.</x:v>
      </x:c>
      <x:c r="H134" s="38" t="str">
        <x:v>Launch with curated/manual inductions and static public profiles before live scoring or complex collection systems.</x:v>
      </x:c>
    </x:row>
    <x:row r="135" ht="48" customHeight="1">
      <x:c r="A135" s="60" t="str">
        <x:v>DOS-007</x:v>
      </x:c>
      <x:c r="B135" s="37" t="str">
        <x:v>ZAF Prestige</x:v>
      </x:c>
      <x:c r="C135" s="37" t="str">
        <x:v>FAM-07</x:v>
      </x:c>
      <x:c r="D135" s="37" t="str">
        <x:v>File intake, storage &amp; lifecycle</x:v>
      </x:c>
      <x:c r="E135" s="37" t="str">
        <x:v>Important</x:v>
      </x:c>
      <x:c r="F135" s="37" t="str">
        <x:v>Score after gates</x:v>
      </x:c>
      <x:c r="G135" s="37" t="str">
        <x:v>ZAF Prestige: Upload/import, validation, storage, retention, and file-size handling.</x:v>
      </x:c>
      <x:c r="H135" s="38" t="str">
        <x:v>Launch with curated/manual inductions and static public profiles before live scoring or complex collection systems.</x:v>
      </x:c>
    </x:row>
    <x:row r="136" ht="48" customHeight="1">
      <x:c r="A136" s="60" t="str">
        <x:v>DOS-007</x:v>
      </x:c>
      <x:c r="B136" s="37" t="str">
        <x:v>ZAF Prestige</x:v>
      </x:c>
      <x:c r="C136" s="37" t="str">
        <x:v>FAM-15</x:v>
      </x:c>
      <x:c r="D136" s="37" t="str">
        <x:v>Social, realtime &amp; collaboration</x:v>
      </x:c>
      <x:c r="E136" s="37" t="str">
        <x:v>Important</x:v>
      </x:c>
      <x:c r="F136" s="37" t="str">
        <x:v>Score after gates</x:v>
      </x:c>
      <x:c r="G136" s="37" t="str">
        <x:v>ZAF Prestige: Feeds, messaging, groups, sharing, realtime updates, or multi-user creation.</x:v>
      </x:c>
      <x:c r="H136" s="38" t="str">
        <x:v>Launch with curated/manual inductions and static public profiles before live scoring or complex collection systems.</x:v>
      </x:c>
    </x:row>
    <x:row r="137" ht="48" customHeight="1">
      <x:c r="A137" s="60" t="str">
        <x:v>DOS-007</x:v>
      </x:c>
      <x:c r="B137" s="37" t="str">
        <x:v>ZAF Prestige</x:v>
      </x:c>
      <x:c r="C137" s="37" t="str">
        <x:v>FAM-16</x:v>
      </x:c>
      <x:c r="D137" s="37" t="str">
        <x:v>Content moderation &amp; reporting</x:v>
      </x:c>
      <x:c r="E137" s="37" t="str">
        <x:v>Important</x:v>
      </x:c>
      <x:c r="F137" s="37" t="str">
        <x:v>Score after gates</x:v>
      </x:c>
      <x:c r="G137" s="37" t="str">
        <x:v>ZAF Prestige: Reports, queues, permissions, review actions, and community safety controls.</x:v>
      </x:c>
      <x:c r="H137" s="38" t="str">
        <x:v>Launch with curated/manual inductions and static public profiles before live scoring or complex collection systems.</x:v>
      </x:c>
    </x:row>
    <x:row r="138" ht="48" customHeight="1">
      <x:c r="A138" s="60" t="str">
        <x:v>DOS-007</x:v>
      </x:c>
      <x:c r="B138" s="37" t="str">
        <x:v>ZAF Prestige</x:v>
      </x:c>
      <x:c r="C138" s="37" t="str">
        <x:v>FAM-17</x:v>
      </x:c>
      <x:c r="D138" s="37" t="str">
        <x:v>Payments, subscriptions &amp; billing</x:v>
      </x:c>
      <x:c r="E138" s="37" t="str">
        <x:v>Important</x:v>
      </x:c>
      <x:c r="F138" s="37" t="str">
        <x:v>Score after gates</x:v>
      </x:c>
      <x:c r="G138" s="37" t="str">
        <x:v>ZAF Prestige: Payments, subscriptions, checkout, entitlements, and billing-aware workflows.</x:v>
      </x:c>
      <x:c r="H138" s="38" t="str">
        <x:v>Launch with curated/manual inductions and static public profiles before live scoring or complex collection systems.</x:v>
      </x:c>
    </x:row>
    <x:row r="139" ht="48" customHeight="1">
      <x:c r="A139" s="60" t="str">
        <x:v>DOS-007</x:v>
      </x:c>
      <x:c r="B139" s="37" t="str">
        <x:v>ZAF Prestige</x:v>
      </x:c>
      <x:c r="C139" s="37" t="str">
        <x:v>FAM-24</x:v>
      </x:c>
      <x:c r="D139" s="37" t="str">
        <x:v>Export, publishing &amp; share routes</x:v>
      </x:c>
      <x:c r="E139" s="37" t="str">
        <x:v>Important</x:v>
      </x:c>
      <x:c r="F139" s="37" t="str">
        <x:v>Score after gates</x:v>
      </x:c>
      <x:c r="G139" s="37" t="str">
        <x:v>ZAF Prestige: Download/export, social publishing, share links, and portable output packages.</x:v>
      </x:c>
      <x:c r="H139" s="38" t="str">
        <x:v>Launch with curated/manual inductions and static public profiles before live scoring or complex collection systems.</x:v>
      </x:c>
    </x:row>
    <x:row r="140" ht="48" customHeight="1">
      <x:c r="A140" s="60" t="str">
        <x:v>DOS-007</x:v>
      </x:c>
      <x:c r="B140" s="37" t="str">
        <x:v>ZAF Prestige</x:v>
      </x:c>
      <x:c r="C140" s="37" t="str">
        <x:v>FAM-27</x:v>
      </x:c>
      <x:c r="D140" s="37" t="str">
        <x:v>Portability, ownership &amp; escape path</x:v>
      </x:c>
      <x:c r="E140" s="37" t="str">
        <x:v>Important</x:v>
      </x:c>
      <x:c r="F140" s="37" t="str">
        <x:v>Score after gates</x:v>
      </x:c>
      <x:c r="G140" s="37" t="str">
        <x:v>ZAF Prestige: Code/data export, GitHub, custom domains, migration, and lock-in control.</x:v>
      </x:c>
      <x:c r="H140" s="38" t="str">
        <x:v>Launch with curated/manual inductions and static public profiles before live scoring or complex collection systems.</x:v>
      </x:c>
    </x:row>
    <x:row r="141" ht="48" customHeight="1">
      <x:c r="A141" s="60" t="str">
        <x:v>DOS-007</x:v>
      </x:c>
      <x:c r="B141" s="37" t="str">
        <x:v>ZAF Prestige</x:v>
      </x:c>
      <x:c r="C141" s="37" t="str">
        <x:v>FAM-35</x:v>
      </x:c>
      <x:c r="D141" s="37" t="str">
        <x:v>Privacy, consent &amp; audit trail</x:v>
      </x:c>
      <x:c r="E141" s="37" t="str">
        <x:v>Important</x:v>
      </x:c>
      <x:c r="F141" s="37" t="str">
        <x:v>Score after gates</x:v>
      </x:c>
      <x:c r="G141" s="37" t="str">
        <x:v>ZAF Prestige: Consent, retention, access controls, provenance, and auditable actions.</x:v>
      </x:c>
      <x:c r="H141" s="38" t="str">
        <x:v>Launch with curated/manual inductions and static public profiles before live scoring or complex collection systems.</x:v>
      </x:c>
    </x:row>
    <x:row r="142" ht="48" customHeight="1">
      <x:c r="A142" s="60" t="str">
        <x:v>DOS-007</x:v>
      </x:c>
      <x:c r="B142" s="37" t="str">
        <x:v>ZAF Prestige</x:v>
      </x:c>
      <x:c r="C142" s="37" t="str">
        <x:v>FAM-37</x:v>
      </x:c>
      <x:c r="D142" s="37" t="str">
        <x:v>Gamification, challenges &amp; progression</x:v>
      </x:c>
      <x:c r="E142" s="37" t="str">
        <x:v>Important</x:v>
      </x:c>
      <x:c r="F142" s="37" t="str">
        <x:v>Score after gates</x:v>
      </x:c>
      <x:c r="G142" s="37" t="str">
        <x:v>ZAF Prestige: Challenges, points, levels, voting, collection, and progress systems.</x:v>
      </x:c>
      <x:c r="H142" s="38" t="str">
        <x:v>Launch with curated/manual inductions and static public profiles before live scoring or complex collection systems.</x:v>
      </x:c>
    </x:row>
    <x:row r="143" ht="48" customHeight="1">
      <x:c r="A143" s="60" t="str">
        <x:v>DOS-007</x:v>
      </x:c>
      <x:c r="B143" s="37" t="str">
        <x:v>ZAF Prestige</x:v>
      </x:c>
      <x:c r="C143" s="37" t="str">
        <x:v>FAM-10</x:v>
      </x:c>
      <x:c r="D143" s="37" t="str">
        <x:v>Video, reels &amp; slideshow workflow</x:v>
      </x:c>
      <x:c r="E143" s="37" t="str">
        <x:v>Expansion</x:v>
      </x:c>
      <x:c r="F143" s="37" t="str">
        <x:v>Flexible / later only</x:v>
      </x:c>
      <x:c r="G143" s="37" t="str">
        <x:v>ZAF Prestige: Video playback/upload, timed slideshows, reels, rendering, and video export.</x:v>
      </x:c>
      <x:c r="H143" s="38" t="str">
        <x:v>Artist Passport, patron houses, paid tiers, records, collectibles, the wider prestige universe.</x:v>
      </x:c>
    </x:row>
    <x:row r="144" ht="48" customHeight="1">
      <x:c r="A144" s="60" t="str">
        <x:v>DOS-007</x:v>
      </x:c>
      <x:c r="B144" s="37" t="str">
        <x:v>ZAF Prestige</x:v>
      </x:c>
      <x:c r="C144" s="37" t="str">
        <x:v>FAM-12</x:v>
      </x:c>
      <x:c r="D144" s="37" t="str">
        <x:v>AI text generation, analysis &amp; agents</x:v>
      </x:c>
      <x:c r="E144" s="37" t="str">
        <x:v>Expansion</x:v>
      </x:c>
      <x:c r="F144" s="37" t="str">
        <x:v>Flexible / later only</x:v>
      </x:c>
      <x:c r="G144" s="37" t="str">
        <x:v>ZAF Prestige: Prompted generation, classification, summarization, reasoning, or assistant behavior.</x:v>
      </x:c>
      <x:c r="H144" s="38" t="str">
        <x:v>Artist Passport, patron houses, paid tiers, records, collectibles, the wider prestige universe.</x:v>
      </x:c>
    </x:row>
    <x:row r="145" ht="48" customHeight="1">
      <x:c r="A145" s="60" t="str">
        <x:v>DOS-007</x:v>
      </x:c>
      <x:c r="B145" s="37" t="str">
        <x:v>ZAF Prestige</x:v>
      </x:c>
      <x:c r="C145" s="37" t="str">
        <x:v>FAM-21</x:v>
      </x:c>
      <x:c r="D145" s="37" t="str">
        <x:v>Automations, webhooks &amp; scheduled jobs</x:v>
      </x:c>
      <x:c r="E145" s="37" t="str">
        <x:v>Expansion</x:v>
      </x:c>
      <x:c r="F145" s="37" t="str">
        <x:v>Flexible / later only</x:v>
      </x:c>
      <x:c r="G145" s="37" t="str">
        <x:v>ZAF Prestige: Event-driven workflows, scheduled tasks, background processes, and webhooks.</x:v>
      </x:c>
      <x:c r="H145" s="38" t="str">
        <x:v>Artist Passport, patron houses, paid tiers, records, collectibles, the wider prestige universe.</x:v>
      </x:c>
    </x:row>
    <x:row r="146" ht="48" customHeight="1">
      <x:c r="A146" s="60" t="str">
        <x:v>DOS-007</x:v>
      </x:c>
      <x:c r="B146" s="37" t="str">
        <x:v>ZAF Prestige</x:v>
      </x:c>
      <x:c r="C146" s="37" t="str">
        <x:v>FAM-32</x:v>
      </x:c>
      <x:c r="D146" s="37" t="str">
        <x:v>Marketplace, templates &amp; creator assets</x:v>
      </x:c>
      <x:c r="E146" s="37" t="str">
        <x:v>Expansion</x:v>
      </x:c>
      <x:c r="F146" s="37" t="str">
        <x:v>Flexible / later only</x:v>
      </x:c>
      <x:c r="G146" s="37" t="str">
        <x:v>ZAF Prestige: Listings, reusable assets, creator publishing, reviews, and marketplace rules.</x:v>
      </x:c>
      <x:c r="H146" s="38" t="str">
        <x:v>Artist Passport, patron houses, paid tiers, records, collectibles, the wider prestige universe.</x:v>
      </x:c>
    </x:row>
    <x:row r="147" ht="48" customHeight="1">
      <x:c r="A147" s="60" t="str">
        <x:v>DOS-008</x:v>
      </x:c>
      <x:c r="B147" s="37" t="str">
        <x:v>ZAF Duet Dare &amp; Collaboration</x:v>
      </x:c>
      <x:c r="C147" s="37" t="str">
        <x:v>FAM-01</x:v>
      </x:c>
      <x:c r="D147" s="37" t="str">
        <x:v>Responsive web / PWA interface</x:v>
      </x:c>
      <x:c r="E147" s="37" t="str">
        <x:v>Must</x:v>
      </x:c>
      <x:c r="F147" s="37" t="str">
        <x:v>Strict-route gate</x:v>
      </x:c>
      <x:c r="G147" s="37" t="str">
        <x:v>ZAF Duet Dare &amp; Collaboration: Mobile-first responsive screens and app-like web navigation.</x:v>
      </x:c>
      <x:c r="H147" s="38" t="str">
        <x:v>Challenge card, nominations, due dates, simple submission links, voting rules, outcome/recognition page.</x:v>
      </x:c>
    </x:row>
    <x:row r="148" ht="48" customHeight="1">
      <x:c r="A148" s="60" t="str">
        <x:v>DOS-008</x:v>
      </x:c>
      <x:c r="B148" s="37" t="str">
        <x:v>ZAF Duet Dare &amp; Collaboration</x:v>
      </x:c>
      <x:c r="C148" s="37" t="str">
        <x:v>FAM-03</x:v>
      </x:c>
      <x:c r="D148" s="37" t="str">
        <x:v>Authentication, identity &amp; roles</x:v>
      </x:c>
      <x:c r="E148" s="37" t="str">
        <x:v>Must</x:v>
      </x:c>
      <x:c r="F148" s="37" t="str">
        <x:v>Strict-route gate</x:v>
      </x:c>
      <x:c r="G148" s="37" t="str">
        <x:v>ZAF Duet Dare &amp; Collaboration: Sign-in, role-aware access, member identity, and permissions.</x:v>
      </x:c>
      <x:c r="H148" s="38" t="str">
        <x:v>Challenge card, nominations, due dates, simple submission links, voting rules, outcome/recognition page.</x:v>
      </x:c>
    </x:row>
    <x:row r="149" ht="48" customHeight="1">
      <x:c r="A149" s="60" t="str">
        <x:v>DOS-008</x:v>
      </x:c>
      <x:c r="B149" s="37" t="str">
        <x:v>ZAF Duet Dare &amp; Collaboration</x:v>
      </x:c>
      <x:c r="C149" s="37" t="str">
        <x:v>FAM-04</x:v>
      </x:c>
      <x:c r="D149" s="37" t="str">
        <x:v>Profiles, portfolios &amp; relationship records</x:v>
      </x:c>
      <x:c r="E149" s="37" t="str">
        <x:v>Must</x:v>
      </x:c>
      <x:c r="F149" s="37" t="str">
        <x:v>Strict-route gate</x:v>
      </x:c>
      <x:c r="G149" s="37" t="str">
        <x:v>ZAF Duet Dare &amp; Collaboration: Persistent user/member/creator profiles and linked relationships.</x:v>
      </x:c>
      <x:c r="H149" s="38" t="str">
        <x:v>Challenge card, nominations, due dates, simple submission links, voting rules, outcome/recognition page.</x:v>
      </x:c>
    </x:row>
    <x:row r="150" ht="48" customHeight="1">
      <x:c r="A150" s="60" t="str">
        <x:v>DOS-008</x:v>
      </x:c>
      <x:c r="B150" s="37" t="str">
        <x:v>ZAF Duet Dare &amp; Collaboration</x:v>
      </x:c>
      <x:c r="C150" s="37" t="str">
        <x:v>FAM-05</x:v>
      </x:c>
      <x:c r="D150" s="37" t="str">
        <x:v>Structured database &amp; persistent records</x:v>
      </x:c>
      <x:c r="E150" s="37" t="str">
        <x:v>Must</x:v>
      </x:c>
      <x:c r="F150" s="37" t="str">
        <x:v>Strict-route gate</x:v>
      </x:c>
      <x:c r="G150" s="37" t="str">
        <x:v>ZAF Duet Dare &amp; Collaboration: Reliable structured data storage, retrieval, and updates.</x:v>
      </x:c>
      <x:c r="H150" s="38" t="str">
        <x:v>Challenge card, nominations, due dates, simple submission links, voting rules, outcome/recognition page.</x:v>
      </x:c>
    </x:row>
    <x:row r="151" ht="48" customHeight="1">
      <x:c r="A151" s="60" t="str">
        <x:v>DOS-008</x:v>
      </x:c>
      <x:c r="B151" s="37" t="str">
        <x:v>ZAF Duet Dare &amp; Collaboration</x:v>
      </x:c>
      <x:c r="C151" s="37" t="str">
        <x:v>FAM-15</x:v>
      </x:c>
      <x:c r="D151" s="37" t="str">
        <x:v>Social, realtime &amp; collaboration</x:v>
      </x:c>
      <x:c r="E151" s="37" t="str">
        <x:v>Must</x:v>
      </x:c>
      <x:c r="F151" s="37" t="str">
        <x:v>Strict-route gate</x:v>
      </x:c>
      <x:c r="G151" s="37" t="str">
        <x:v>ZAF Duet Dare &amp; Collaboration: Feeds, messaging, groups, sharing, realtime updates, or multi-user creation.</x:v>
      </x:c>
      <x:c r="H151" s="38" t="str">
        <x:v>Challenge card, nominations, due dates, simple submission links, voting rules, outcome/recognition page.</x:v>
      </x:c>
    </x:row>
    <x:row r="152" ht="48" customHeight="1">
      <x:c r="A152" s="60" t="str">
        <x:v>DOS-008</x:v>
      </x:c>
      <x:c r="B152" s="37" t="str">
        <x:v>ZAF Duet Dare &amp; Collaboration</x:v>
      </x:c>
      <x:c r="C152" s="37" t="str">
        <x:v>FAM-19</x:v>
      </x:c>
      <x:c r="D152" s="37" t="str">
        <x:v>Rewards, badges &amp; entitlements</x:v>
      </x:c>
      <x:c r="E152" s="37" t="str">
        <x:v>Must</x:v>
      </x:c>
      <x:c r="F152" s="37" t="str">
        <x:v>Strict-route gate</x:v>
      </x:c>
      <x:c r="G152" s="37" t="str">
        <x:v>ZAF Duet Dare &amp; Collaboration: Loyalty, roles, rewards, badges, credits, and access logic.</x:v>
      </x:c>
      <x:c r="H152" s="38" t="str">
        <x:v>Challenge card, nominations, due dates, simple submission links, voting rules, outcome/recognition page.</x:v>
      </x:c>
    </x:row>
    <x:row r="153" ht="48" customHeight="1">
      <x:c r="A153" s="60" t="str">
        <x:v>DOS-008</x:v>
      </x:c>
      <x:c r="B153" s="37" t="str">
        <x:v>ZAF Duet Dare &amp; Collaboration</x:v>
      </x:c>
      <x:c r="C153" s="37" t="str">
        <x:v>FAM-23</x:v>
      </x:c>
      <x:c r="D153" s="37" t="str">
        <x:v>Public website, SEO &amp; domain control</x:v>
      </x:c>
      <x:c r="E153" s="37" t="str">
        <x:v>Must</x:v>
      </x:c>
      <x:c r="F153" s="37" t="str">
        <x:v>Strict-route gate</x:v>
      </x:c>
      <x:c r="G153" s="37" t="str">
        <x:v>ZAF Duet Dare &amp; Collaboration: Public pages, discoverability, custom domain, shareability, and search metadata.</x:v>
      </x:c>
      <x:c r="H153" s="38" t="str">
        <x:v>Challenge card, nominations, due dates, simple submission links, voting rules, outcome/recognition page.</x:v>
      </x:c>
    </x:row>
    <x:row r="154" ht="48" customHeight="1">
      <x:c r="A154" s="60" t="str">
        <x:v>DOS-008</x:v>
      </x:c>
      <x:c r="B154" s="37" t="str">
        <x:v>ZAF Duet Dare &amp; Collaboration</x:v>
      </x:c>
      <x:c r="C154" s="37" t="str">
        <x:v>FAM-37</x:v>
      </x:c>
      <x:c r="D154" s="37" t="str">
        <x:v>Gamification, challenges &amp; progression</x:v>
      </x:c>
      <x:c r="E154" s="37" t="str">
        <x:v>Must</x:v>
      </x:c>
      <x:c r="F154" s="37" t="str">
        <x:v>Strict-route gate</x:v>
      </x:c>
      <x:c r="G154" s="37" t="str">
        <x:v>ZAF Duet Dare &amp; Collaboration: Challenges, points, levels, voting, collection, and progress systems.</x:v>
      </x:c>
      <x:c r="H154" s="38" t="str">
        <x:v>Challenge card, nominations, due dates, simple submission links, voting rules, outcome/recognition page.</x:v>
      </x:c>
    </x:row>
    <x:row r="155" ht="48" customHeight="1">
      <x:c r="A155" s="60" t="str">
        <x:v>DOS-008</x:v>
      </x:c>
      <x:c r="B155" s="37" t="str">
        <x:v>ZAF Duet Dare &amp; Collaboration</x:v>
      </x:c>
      <x:c r="C155" s="37" t="str">
        <x:v>FAM-02</x:v>
      </x:c>
      <x:c r="D155" s="37" t="str">
        <x:v>Android/mobile builder workability</x:v>
      </x:c>
      <x:c r="E155" s="37" t="str">
        <x:v>Important</x:v>
      </x:c>
      <x:c r="F155" s="37" t="str">
        <x:v>Score after gates</x:v>
      </x:c>
      <x:c r="G155" s="37" t="str">
        <x:v>ZAF Duet Dare &amp; Collaboration: Derek can build, edit, preview, test, and deploy with reasonable Android/mobile friction.</x:v>
      </x:c>
      <x:c r="H155" s="38" t="str">
        <x:v>Run MVP with manual moderation and external performance links; defer internal performance hosting.</x:v>
      </x:c>
    </x:row>
    <x:row r="156" ht="48" customHeight="1">
      <x:c r="A156" s="60" t="str">
        <x:v>DOS-008</x:v>
      </x:c>
      <x:c r="B156" s="37" t="str">
        <x:v>ZAF Duet Dare &amp; Collaboration</x:v>
      </x:c>
      <x:c r="C156" s="37" t="str">
        <x:v>FAM-06</x:v>
      </x:c>
      <x:c r="D156" s="37" t="str">
        <x:v>Search, filters, lists &amp; directories</x:v>
      </x:c>
      <x:c r="E156" s="37" t="str">
        <x:v>Important</x:v>
      </x:c>
      <x:c r="F156" s="37" t="str">
        <x:v>Score after gates</x:v>
      </x:c>
      <x:c r="G156" s="37" t="str">
        <x:v>ZAF Duet Dare &amp; Collaboration: Searchable libraries, member lists, catalog browsing, and filtered views.</x:v>
      </x:c>
      <x:c r="H156" s="38" t="str">
        <x:v>Run MVP with manual moderation and external performance links; defer internal performance hosting.</x:v>
      </x:c>
    </x:row>
    <x:row r="157" ht="48" customHeight="1">
      <x:c r="A157" s="60" t="str">
        <x:v>DOS-008</x:v>
      </x:c>
      <x:c r="B157" s="37" t="str">
        <x:v>ZAF Duet Dare &amp; Collaboration</x:v>
      </x:c>
      <x:c r="C157" s="37" t="str">
        <x:v>FAM-07</x:v>
      </x:c>
      <x:c r="D157" s="37" t="str">
        <x:v>File intake, storage &amp; lifecycle</x:v>
      </x:c>
      <x:c r="E157" s="37" t="str">
        <x:v>Important</x:v>
      </x:c>
      <x:c r="F157" s="37" t="str">
        <x:v>Score after gates</x:v>
      </x:c>
      <x:c r="G157" s="37" t="str">
        <x:v>ZAF Duet Dare &amp; Collaboration: Upload/import, validation, storage, retention, and file-size handling.</x:v>
      </x:c>
      <x:c r="H157" s="38" t="str">
        <x:v>Run MVP with manual moderation and external performance links; defer internal performance hosting.</x:v>
      </x:c>
    </x:row>
    <x:row r="158" ht="48" customHeight="1">
      <x:c r="A158" s="60" t="str">
        <x:v>DOS-008</x:v>
      </x:c>
      <x:c r="B158" s="37" t="str">
        <x:v>ZAF Duet Dare &amp; Collaboration</x:v>
      </x:c>
      <x:c r="C158" s="37" t="str">
        <x:v>FAM-16</x:v>
      </x:c>
      <x:c r="D158" s="37" t="str">
        <x:v>Content moderation &amp; reporting</x:v>
      </x:c>
      <x:c r="E158" s="37" t="str">
        <x:v>Important</x:v>
      </x:c>
      <x:c r="F158" s="37" t="str">
        <x:v>Score after gates</x:v>
      </x:c>
      <x:c r="G158" s="37" t="str">
        <x:v>ZAF Duet Dare &amp; Collaboration: Reports, queues, permissions, review actions, and community safety controls.</x:v>
      </x:c>
      <x:c r="H158" s="38" t="str">
        <x:v>Run MVP with manual moderation and external performance links; defer internal performance hosting.</x:v>
      </x:c>
    </x:row>
    <x:row r="159" ht="48" customHeight="1">
      <x:c r="A159" s="60" t="str">
        <x:v>DOS-008</x:v>
      </x:c>
      <x:c r="B159" s="37" t="str">
        <x:v>ZAF Duet Dare &amp; Collaboration</x:v>
      </x:c>
      <x:c r="C159" s="37" t="str">
        <x:v>FAM-17</x:v>
      </x:c>
      <x:c r="D159" s="37" t="str">
        <x:v>Payments, subscriptions &amp; billing</x:v>
      </x:c>
      <x:c r="E159" s="37" t="str">
        <x:v>Important</x:v>
      </x:c>
      <x:c r="F159" s="37" t="str">
        <x:v>Score after gates</x:v>
      </x:c>
      <x:c r="G159" s="37" t="str">
        <x:v>ZAF Duet Dare &amp; Collaboration: Payments, subscriptions, checkout, entitlements, and billing-aware workflows.</x:v>
      </x:c>
      <x:c r="H159" s="38" t="str">
        <x:v>Run MVP with manual moderation and external performance links; defer internal performance hosting.</x:v>
      </x:c>
    </x:row>
    <x:row r="160" ht="48" customHeight="1">
      <x:c r="A160" s="60" t="str">
        <x:v>DOS-008</x:v>
      </x:c>
      <x:c r="B160" s="37" t="str">
        <x:v>ZAF Duet Dare &amp; Collaboration</x:v>
      </x:c>
      <x:c r="C160" s="37" t="str">
        <x:v>FAM-25</x:v>
      </x:c>
      <x:c r="D160" s="37" t="str">
        <x:v>Analytics, reporting &amp; decision dashboards</x:v>
      </x:c>
      <x:c r="E160" s="37" t="str">
        <x:v>Important</x:v>
      </x:c>
      <x:c r="F160" s="37" t="str">
        <x:v>Score after gates</x:v>
      </x:c>
      <x:c r="G160" s="37" t="str">
        <x:v>ZAF Duet Dare &amp; Collaboration: Usage metrics, charts, rankings, reporting, and decision support.</x:v>
      </x:c>
      <x:c r="H160" s="38" t="str">
        <x:v>Run MVP with manual moderation and external performance links; defer internal performance hosting.</x:v>
      </x:c>
    </x:row>
    <x:row r="161" ht="48" customHeight="1">
      <x:c r="A161" s="60" t="str">
        <x:v>DOS-008</x:v>
      </x:c>
      <x:c r="B161" s="37" t="str">
        <x:v>ZAF Duet Dare &amp; Collaboration</x:v>
      </x:c>
      <x:c r="C161" s="37" t="str">
        <x:v>FAM-27</x:v>
      </x:c>
      <x:c r="D161" s="37" t="str">
        <x:v>Portability, ownership &amp; escape path</x:v>
      </x:c>
      <x:c r="E161" s="37" t="str">
        <x:v>Important</x:v>
      </x:c>
      <x:c r="F161" s="37" t="str">
        <x:v>Score after gates</x:v>
      </x:c>
      <x:c r="G161" s="37" t="str">
        <x:v>ZAF Duet Dare &amp; Collaboration: Code/data export, GitHub, custom domains, migration, and lock-in control.</x:v>
      </x:c>
      <x:c r="H161" s="38" t="str">
        <x:v>Run MVP with manual moderation and external performance links; defer internal performance hosting.</x:v>
      </x:c>
    </x:row>
    <x:row r="162" ht="48" customHeight="1">
      <x:c r="A162" s="60" t="str">
        <x:v>DOS-008</x:v>
      </x:c>
      <x:c r="B162" s="37" t="str">
        <x:v>ZAF Duet Dare &amp; Collaboration</x:v>
      </x:c>
      <x:c r="C162" s="37" t="str">
        <x:v>FAM-10</x:v>
      </x:c>
      <x:c r="D162" s="37" t="str">
        <x:v>Video, reels &amp; slideshow workflow</x:v>
      </x:c>
      <x:c r="E162" s="37" t="str">
        <x:v>Expansion</x:v>
      </x:c>
      <x:c r="F162" s="37" t="str">
        <x:v>Flexible / later only</x:v>
      </x:c>
      <x:c r="G162" s="37" t="str">
        <x:v>ZAF Duet Dare &amp; Collaboration: Video playback/upload, timed slideshows, reels, rendering, and video export.</x:v>
      </x:c>
      <x:c r="H162" s="38" t="str">
        <x:v>Duet randomizer, facilitator tools, harmony suggestions, linked rewards.</x:v>
      </x:c>
    </x:row>
    <x:row r="163" ht="48" customHeight="1">
      <x:c r="A163" s="60" t="str">
        <x:v>DOS-008</x:v>
      </x:c>
      <x:c r="B163" s="37" t="str">
        <x:v>ZAF Duet Dare &amp; Collaboration</x:v>
      </x:c>
      <x:c r="C163" s="37" t="str">
        <x:v>FAM-12</x:v>
      </x:c>
      <x:c r="D163" s="37" t="str">
        <x:v>AI text generation, analysis &amp; agents</x:v>
      </x:c>
      <x:c r="E163" s="37" t="str">
        <x:v>Expansion</x:v>
      </x:c>
      <x:c r="F163" s="37" t="str">
        <x:v>Flexible / later only</x:v>
      </x:c>
      <x:c r="G163" s="37" t="str">
        <x:v>ZAF Duet Dare &amp; Collaboration: Prompted generation, classification, summarization, reasoning, or assistant behavior.</x:v>
      </x:c>
      <x:c r="H163" s="38" t="str">
        <x:v>Duet randomizer, facilitator tools, harmony suggestions, linked rewards.</x:v>
      </x:c>
    </x:row>
    <x:row r="164" ht="48" customHeight="1">
      <x:c r="A164" s="60" t="str">
        <x:v>DOS-008</x:v>
      </x:c>
      <x:c r="B164" s="37" t="str">
        <x:v>ZAF Duet Dare &amp; Collaboration</x:v>
      </x:c>
      <x:c r="C164" s="37" t="str">
        <x:v>FAM-20</x:v>
      </x:c>
      <x:c r="D164" s="37" t="str">
        <x:v>Notifications, reminders &amp; deadlines</x:v>
      </x:c>
      <x:c r="E164" s="37" t="str">
        <x:v>Expansion</x:v>
      </x:c>
      <x:c r="F164" s="37" t="str">
        <x:v>Flexible / later only</x:v>
      </x:c>
      <x:c r="G164" s="37" t="str">
        <x:v>ZAF Duet Dare &amp; Collaboration: Push/email/in-app reminders, scheduled tasks, and time-bound flows.</x:v>
      </x:c>
      <x:c r="H164" s="38" t="str">
        <x:v>Duet randomizer, facilitator tools, harmony suggestions, linked rewards.</x:v>
      </x:c>
    </x:row>
    <x:row r="165" ht="48" customHeight="1">
      <x:c r="A165" s="60" t="str">
        <x:v>DOS-008</x:v>
      </x:c>
      <x:c r="B165" s="37" t="str">
        <x:v>ZAF Duet Dare &amp; Collaboration</x:v>
      </x:c>
      <x:c r="C165" s="37" t="str">
        <x:v>FAM-32</x:v>
      </x:c>
      <x:c r="D165" s="37" t="str">
        <x:v>Marketplace, templates &amp; creator assets</x:v>
      </x:c>
      <x:c r="E165" s="37" t="str">
        <x:v>Expansion</x:v>
      </x:c>
      <x:c r="F165" s="37" t="str">
        <x:v>Flexible / later only</x:v>
      </x:c>
      <x:c r="G165" s="37" t="str">
        <x:v>ZAF Duet Dare &amp; Collaboration: Listings, reusable assets, creator publishing, reviews, and marketplace rules.</x:v>
      </x:c>
      <x:c r="H165" s="38" t="str">
        <x:v>Duet randomizer, facilitator tools, harmony suggestions, linked rewards.</x:v>
      </x:c>
    </x:row>
    <x:row r="166" ht="48" customHeight="1">
      <x:c r="A166" s="60" t="str">
        <x:v>DOS-008</x:v>
      </x:c>
      <x:c r="B166" s="37" t="str">
        <x:v>ZAF Duet Dare &amp; Collaboration</x:v>
      </x:c>
      <x:c r="C166" s="37" t="str">
        <x:v>FAM-38</x:v>
      </x:c>
      <x:c r="D166" s="37" t="str">
        <x:v>Native/desktop packaging route</x:v>
      </x:c>
      <x:c r="E166" s="37" t="str">
        <x:v>Expansion</x:v>
      </x:c>
      <x:c r="F166" s="37" t="str">
        <x:v>Flexible / later only</x:v>
      </x:c>
      <x:c r="G166" s="37" t="str">
        <x:v>ZAF Duet Dare &amp; Collaboration: Native mobile or desktop packaging, device integrations, and distribution path.</x:v>
      </x:c>
      <x:c r="H166" s="38" t="str">
        <x:v>Duet randomizer, facilitator tools, harmony suggestions, linked rewards.</x:v>
      </x:c>
    </x:row>
    <x:row r="167" ht="48" customHeight="1">
      <x:c r="A167" s="60" t="str">
        <x:v>DOS-009</x:v>
      </x:c>
      <x:c r="B167" s="37" t="str">
        <x:v>Karaoke Hall of Fame</x:v>
      </x:c>
      <x:c r="C167" s="37" t="str">
        <x:v>FAM-01</x:v>
      </x:c>
      <x:c r="D167" s="37" t="str">
        <x:v>Responsive web / PWA interface</x:v>
      </x:c>
      <x:c r="E167" s="37" t="str">
        <x:v>Must</x:v>
      </x:c>
      <x:c r="F167" s="37" t="str">
        <x:v>Strict-route gate</x:v>
      </x:c>
      <x:c r="G167" s="37" t="str">
        <x:v>Karaoke Hall of Fame: Mobile-first responsive screens and app-like web navigation.</x:v>
      </x:c>
      <x:c r="H167" s="38" t="str">
        <x:v>Public honoree profile template, induction package, governance/eligibility, nomination/contact path.</x:v>
      </x:c>
    </x:row>
    <x:row r="168" ht="48" customHeight="1">
      <x:c r="A168" s="60" t="str">
        <x:v>DOS-009</x:v>
      </x:c>
      <x:c r="B168" s="37" t="str">
        <x:v>Karaoke Hall of Fame</x:v>
      </x:c>
      <x:c r="C168" s="37" t="str">
        <x:v>FAM-23</x:v>
      </x:c>
      <x:c r="D168" s="37" t="str">
        <x:v>Public website, SEO &amp; domain control</x:v>
      </x:c>
      <x:c r="E168" s="37" t="str">
        <x:v>Must</x:v>
      </x:c>
      <x:c r="F168" s="37" t="str">
        <x:v>Strict-route gate</x:v>
      </x:c>
      <x:c r="G168" s="37" t="str">
        <x:v>Karaoke Hall of Fame: Public pages, discoverability, custom domain, shareability, and search metadata.</x:v>
      </x:c>
      <x:c r="H168" s="38" t="str">
        <x:v>Public honoree profile template, induction package, governance/eligibility, nomination/contact path.</x:v>
      </x:c>
    </x:row>
    <x:row r="169" ht="48" customHeight="1">
      <x:c r="A169" s="60" t="str">
        <x:v>DOS-009</x:v>
      </x:c>
      <x:c r="B169" s="37" t="str">
        <x:v>Karaoke Hall of Fame</x:v>
      </x:c>
      <x:c r="C169" s="37" t="str">
        <x:v>FAM-26</x:v>
      </x:c>
      <x:c r="D169" s="37" t="str">
        <x:v>Admin, CMS &amp; operational management</x:v>
      </x:c>
      <x:c r="E169" s="37" t="str">
        <x:v>Must</x:v>
      </x:c>
      <x:c r="F169" s="37" t="str">
        <x:v>Strict-route gate</x:v>
      </x:c>
      <x:c r="G169" s="37" t="str">
        <x:v>Karaoke Hall of Fame: Admin views, content management, operational review, and human overrides.</x:v>
      </x:c>
      <x:c r="H169" s="38" t="str">
        <x:v>Public honoree profile template, induction package, governance/eligibility, nomination/contact path.</x:v>
      </x:c>
    </x:row>
    <x:row r="170" ht="48" customHeight="1">
      <x:c r="A170" s="60" t="str">
        <x:v>DOS-009</x:v>
      </x:c>
      <x:c r="B170" s="37" t="str">
        <x:v>Karaoke Hall of Fame</x:v>
      </x:c>
      <x:c r="C170" s="37" t="str">
        <x:v>FAM-27</x:v>
      </x:c>
      <x:c r="D170" s="37" t="str">
        <x:v>Portability, ownership &amp; escape path</x:v>
      </x:c>
      <x:c r="E170" s="37" t="str">
        <x:v>Must</x:v>
      </x:c>
      <x:c r="F170" s="37" t="str">
        <x:v>Strict-route gate</x:v>
      </x:c>
      <x:c r="G170" s="37" t="str">
        <x:v>Karaoke Hall of Fame: Code/data export, GitHub, custom domains, migration, and lock-in control.</x:v>
      </x:c>
      <x:c r="H170" s="38" t="str">
        <x:v>Public honoree profile template, induction package, governance/eligibility, nomination/contact path.</x:v>
      </x:c>
    </x:row>
    <x:row r="171" ht="48" customHeight="1">
      <x:c r="A171" s="60" t="str">
        <x:v>DOS-009</x:v>
      </x:c>
      <x:c r="B171" s="37" t="str">
        <x:v>Karaoke Hall of Fame</x:v>
      </x:c>
      <x:c r="C171" s="37" t="str">
        <x:v>FAM-40</x:v>
      </x:c>
      <x:c r="D171" s="37" t="str">
        <x:v>Research, validation &amp; launch experiment</x:v>
      </x:c>
      <x:c r="E171" s="37" t="str">
        <x:v>Must</x:v>
      </x:c>
      <x:c r="F171" s="37" t="str">
        <x:v>Strict-route gate</x:v>
      </x:c>
      <x:c r="G171" s="37" t="str">
        <x:v>Karaoke Hall of Fame: Landing tests, surveys, waitlists, hypotheses, experiments, and evidence capture.</x:v>
      </x:c>
      <x:c r="H171" s="38" t="str">
        <x:v>Public honoree profile template, induction package, governance/eligibility, nomination/contact path.</x:v>
      </x:c>
    </x:row>
    <x:row r="172" ht="48" customHeight="1">
      <x:c r="A172" s="60" t="str">
        <x:v>DOS-009</x:v>
      </x:c>
      <x:c r="B172" s="37" t="str">
        <x:v>Karaoke Hall of Fame</x:v>
      </x:c>
      <x:c r="C172" s="37" t="str">
        <x:v>FAM-02</x:v>
      </x:c>
      <x:c r="D172" s="37" t="str">
        <x:v>Android/mobile builder workability</x:v>
      </x:c>
      <x:c r="E172" s="37" t="str">
        <x:v>Important</x:v>
      </x:c>
      <x:c r="F172" s="37" t="str">
        <x:v>Score after gates</x:v>
      </x:c>
      <x:c r="G172" s="37" t="str">
        <x:v>Karaoke Hall of Fame: Derek can build, edit, preview, test, and deploy with reasonable Android/mobile friction.</x:v>
      </x:c>
      <x:c r="H172" s="38" t="str">
        <x:v>Start as curated website and productized tribute service.</x:v>
      </x:c>
    </x:row>
    <x:row r="173" ht="48" customHeight="1">
      <x:c r="A173" s="60" t="str">
        <x:v>DOS-009</x:v>
      </x:c>
      <x:c r="B173" s="37" t="str">
        <x:v>Karaoke Hall of Fame</x:v>
      </x:c>
      <x:c r="C173" s="37" t="str">
        <x:v>FAM-06</x:v>
      </x:c>
      <x:c r="D173" s="37" t="str">
        <x:v>Search, filters, lists &amp; directories</x:v>
      </x:c>
      <x:c r="E173" s="37" t="str">
        <x:v>Important</x:v>
      </x:c>
      <x:c r="F173" s="37" t="str">
        <x:v>Score after gates</x:v>
      </x:c>
      <x:c r="G173" s="37" t="str">
        <x:v>Karaoke Hall of Fame: Searchable libraries, member lists, catalog browsing, and filtered views.</x:v>
      </x:c>
      <x:c r="H173" s="38" t="str">
        <x:v>Start as curated website and productized tribute service.</x:v>
      </x:c>
    </x:row>
    <x:row r="174" ht="48" customHeight="1">
      <x:c r="A174" s="60" t="str">
        <x:v>DOS-009</x:v>
      </x:c>
      <x:c r="B174" s="37" t="str">
        <x:v>Karaoke Hall of Fame</x:v>
      </x:c>
      <x:c r="C174" s="37" t="str">
        <x:v>FAM-17</x:v>
      </x:c>
      <x:c r="D174" s="37" t="str">
        <x:v>Payments, subscriptions &amp; billing</x:v>
      </x:c>
      <x:c r="E174" s="37" t="str">
        <x:v>Important</x:v>
      </x:c>
      <x:c r="F174" s="37" t="str">
        <x:v>Score after gates</x:v>
      </x:c>
      <x:c r="G174" s="37" t="str">
        <x:v>Karaoke Hall of Fame: Payments, subscriptions, checkout, entitlements, and billing-aware workflows.</x:v>
      </x:c>
      <x:c r="H174" s="38" t="str">
        <x:v>Start as curated website and productized tribute service.</x:v>
      </x:c>
    </x:row>
    <x:row r="175" ht="48" customHeight="1">
      <x:c r="A175" s="60" t="str">
        <x:v>DOS-009</x:v>
      </x:c>
      <x:c r="B175" s="37" t="str">
        <x:v>Karaoke Hall of Fame</x:v>
      </x:c>
      <x:c r="C175" s="37" t="str">
        <x:v>FAM-24</x:v>
      </x:c>
      <x:c r="D175" s="37" t="str">
        <x:v>Export, publishing &amp; share routes</x:v>
      </x:c>
      <x:c r="E175" s="37" t="str">
        <x:v>Important</x:v>
      </x:c>
      <x:c r="F175" s="37" t="str">
        <x:v>Score after gates</x:v>
      </x:c>
      <x:c r="G175" s="37" t="str">
        <x:v>Karaoke Hall of Fame: Download/export, social publishing, share links, and portable output packages.</x:v>
      </x:c>
      <x:c r="H175" s="38" t="str">
        <x:v>Start as curated website and productized tribute service.</x:v>
      </x:c>
    </x:row>
    <x:row r="176" ht="48" customHeight="1">
      <x:c r="A176" s="60" t="str">
        <x:v>DOS-009</x:v>
      </x:c>
      <x:c r="B176" s="37" t="str">
        <x:v>Karaoke Hall of Fame</x:v>
      </x:c>
      <x:c r="C176" s="37" t="str">
        <x:v>FAM-25</x:v>
      </x:c>
      <x:c r="D176" s="37" t="str">
        <x:v>Analytics, reporting &amp; decision dashboards</x:v>
      </x:c>
      <x:c r="E176" s="37" t="str">
        <x:v>Important</x:v>
      </x:c>
      <x:c r="F176" s="37" t="str">
        <x:v>Score after gates</x:v>
      </x:c>
      <x:c r="G176" s="37" t="str">
        <x:v>Karaoke Hall of Fame: Usage metrics, charts, rankings, reporting, and decision support.</x:v>
      </x:c>
      <x:c r="H176" s="38" t="str">
        <x:v>Start as curated website and productized tribute service.</x:v>
      </x:c>
    </x:row>
    <x:row r="177" ht="48" customHeight="1">
      <x:c r="A177" s="60" t="str">
        <x:v>DOS-009</x:v>
      </x:c>
      <x:c r="B177" s="37" t="str">
        <x:v>Karaoke Hall of Fame</x:v>
      </x:c>
      <x:c r="C177" s="37" t="str">
        <x:v>FAM-34</x:v>
      </x:c>
      <x:c r="D177" s="37" t="str">
        <x:v>Lead capture, booking &amp; service commerce</x:v>
      </x:c>
      <x:c r="E177" s="37" t="str">
        <x:v>Important</x:v>
      </x:c>
      <x:c r="F177" s="37" t="str">
        <x:v>Score after gates</x:v>
      </x:c>
      <x:c r="G177" s="37" t="str">
        <x:v>Karaoke Hall of Fame: Inquiry forms, booking, sales funnels, quotes, and service-client handoff.</x:v>
      </x:c>
      <x:c r="H177" s="38" t="str">
        <x:v>Start as curated website and productized tribute service.</x:v>
      </x:c>
    </x:row>
    <x:row r="178" ht="48" customHeight="1">
      <x:c r="A178" s="60" t="str">
        <x:v>DOS-009</x:v>
      </x:c>
      <x:c r="B178" s="37" t="str">
        <x:v>Karaoke Hall of Fame</x:v>
      </x:c>
      <x:c r="C178" s="37" t="str">
        <x:v>FAM-03</x:v>
      </x:c>
      <x:c r="D178" s="37" t="str">
        <x:v>Authentication, identity &amp; roles</x:v>
      </x:c>
      <x:c r="E178" s="37" t="str">
        <x:v>Expansion</x:v>
      </x:c>
      <x:c r="F178" s="37" t="str">
        <x:v>Flexible / later only</x:v>
      </x:c>
      <x:c r="G178" s="37" t="str">
        <x:v>Karaoke Hall of Fame: Sign-in, role-aware access, member identity, and permissions.</x:v>
      </x:c>
      <x:c r="H178" s="38" t="str">
        <x:v>Community voting, dynamic archive, patron tiers, Walk of Stars integration.</x:v>
      </x:c>
    </x:row>
    <x:row r="179" ht="48" customHeight="1">
      <x:c r="A179" s="60" t="str">
        <x:v>DOS-009</x:v>
      </x:c>
      <x:c r="B179" s="37" t="str">
        <x:v>Karaoke Hall of Fame</x:v>
      </x:c>
      <x:c r="C179" s="37" t="str">
        <x:v>FAM-04</x:v>
      </x:c>
      <x:c r="D179" s="37" t="str">
        <x:v>Profiles, portfolios &amp; relationship records</x:v>
      </x:c>
      <x:c r="E179" s="37" t="str">
        <x:v>Expansion</x:v>
      </x:c>
      <x:c r="F179" s="37" t="str">
        <x:v>Flexible / later only</x:v>
      </x:c>
      <x:c r="G179" s="37" t="str">
        <x:v>Karaoke Hall of Fame: Persistent user/member/creator profiles and linked relationships.</x:v>
      </x:c>
      <x:c r="H179" s="38" t="str">
        <x:v>Community voting, dynamic archive, patron tiers, Walk of Stars integration.</x:v>
      </x:c>
    </x:row>
    <x:row r="180" ht="48" customHeight="1">
      <x:c r="A180" s="60" t="str">
        <x:v>DOS-009</x:v>
      </x:c>
      <x:c r="B180" s="37" t="str">
        <x:v>Karaoke Hall of Fame</x:v>
      </x:c>
      <x:c r="C180" s="37" t="str">
        <x:v>FAM-12</x:v>
      </x:c>
      <x:c r="D180" s="37" t="str">
        <x:v>AI text generation, analysis &amp; agents</x:v>
      </x:c>
      <x:c r="E180" s="37" t="str">
        <x:v>Expansion</x:v>
      </x:c>
      <x:c r="F180" s="37" t="str">
        <x:v>Flexible / later only</x:v>
      </x:c>
      <x:c r="G180" s="37" t="str">
        <x:v>Karaoke Hall of Fame: Prompted generation, classification, summarization, reasoning, or assistant behavior.</x:v>
      </x:c>
      <x:c r="H180" s="38" t="str">
        <x:v>Community voting, dynamic archive, patron tiers, Walk of Stars integration.</x:v>
      </x:c>
    </x:row>
    <x:row r="181" ht="48" customHeight="1">
      <x:c r="A181" s="60" t="str">
        <x:v>DOS-009</x:v>
      </x:c>
      <x:c r="B181" s="37" t="str">
        <x:v>Karaoke Hall of Fame</x:v>
      </x:c>
      <x:c r="C181" s="37" t="str">
        <x:v>FAM-18</x:v>
      </x:c>
      <x:c r="D181" s="37" t="str">
        <x:v>Commerce, catalog &amp; fulfillment</x:v>
      </x:c>
      <x:c r="E181" s="37" t="str">
        <x:v>Expansion</x:v>
      </x:c>
      <x:c r="F181" s="37" t="str">
        <x:v>Flexible / later only</x:v>
      </x:c>
      <x:c r="G181" s="37" t="str">
        <x:v>Karaoke Hall of Fame: Product catalogs, ecommerce, orders, print-on-demand, and fulfillment integrations.</x:v>
      </x:c>
      <x:c r="H181" s="38" t="str">
        <x:v>Community voting, dynamic archive, patron tiers, Walk of Stars integration.</x:v>
      </x:c>
    </x:row>
    <x:row r="182" ht="48" customHeight="1">
      <x:c r="A182" s="60" t="str">
        <x:v>DOS-010</x:v>
      </x:c>
      <x:c r="B182" s="37" t="str">
        <x:v>Karaoke Walk of Stars</x:v>
      </x:c>
      <x:c r="C182" s="37" t="str">
        <x:v>FAM-01</x:v>
      </x:c>
      <x:c r="D182" s="37" t="str">
        <x:v>Responsive web / PWA interface</x:v>
      </x:c>
      <x:c r="E182" s="37" t="str">
        <x:v>Must</x:v>
      </x:c>
      <x:c r="F182" s="37" t="str">
        <x:v>Strict-route gate</x:v>
      </x:c>
      <x:c r="G182" s="37" t="str">
        <x:v>Karaoke Walk of Stars: Mobile-first responsive screens and app-like web navigation.</x:v>
      </x:c>
      <x:c r="H182" s="38" t="str">
        <x:v>Experience map, honoree data model, visual direction, one small explorable route, public share page.</x:v>
      </x:c>
    </x:row>
    <x:row r="183" ht="48" customHeight="1">
      <x:c r="A183" s="60" t="str">
        <x:v>DOS-010</x:v>
      </x:c>
      <x:c r="B183" s="37" t="str">
        <x:v>Karaoke Walk of Stars</x:v>
      </x:c>
      <x:c r="C183" s="37" t="str">
        <x:v>FAM-03</x:v>
      </x:c>
      <x:c r="D183" s="37" t="str">
        <x:v>Authentication, identity &amp; roles</x:v>
      </x:c>
      <x:c r="E183" s="37" t="str">
        <x:v>Must</x:v>
      </x:c>
      <x:c r="F183" s="37" t="str">
        <x:v>Strict-route gate</x:v>
      </x:c>
      <x:c r="G183" s="37" t="str">
        <x:v>Karaoke Walk of Stars: Sign-in, role-aware access, member identity, and permissions.</x:v>
      </x:c>
      <x:c r="H183" s="38" t="str">
        <x:v>Experience map, honoree data model, visual direction, one small explorable route, public share page.</x:v>
      </x:c>
    </x:row>
    <x:row r="184" ht="48" customHeight="1">
      <x:c r="A184" s="60" t="str">
        <x:v>DOS-010</x:v>
      </x:c>
      <x:c r="B184" s="37" t="str">
        <x:v>Karaoke Walk of Stars</x:v>
      </x:c>
      <x:c r="C184" s="37" t="str">
        <x:v>FAM-04</x:v>
      </x:c>
      <x:c r="D184" s="37" t="str">
        <x:v>Profiles, portfolios &amp; relationship records</x:v>
      </x:c>
      <x:c r="E184" s="37" t="str">
        <x:v>Must</x:v>
      </x:c>
      <x:c r="F184" s="37" t="str">
        <x:v>Strict-route gate</x:v>
      </x:c>
      <x:c r="G184" s="37" t="str">
        <x:v>Karaoke Walk of Stars: Persistent user/member/creator profiles and linked relationships.</x:v>
      </x:c>
      <x:c r="H184" s="38" t="str">
        <x:v>Experience map, honoree data model, visual direction, one small explorable route, public share page.</x:v>
      </x:c>
    </x:row>
    <x:row r="185" ht="48" customHeight="1">
      <x:c r="A185" s="60" t="str">
        <x:v>DOS-010</x:v>
      </x:c>
      <x:c r="B185" s="37" t="str">
        <x:v>Karaoke Walk of Stars</x:v>
      </x:c>
      <x:c r="C185" s="37" t="str">
        <x:v>FAM-05</x:v>
      </x:c>
      <x:c r="D185" s="37" t="str">
        <x:v>Structured database &amp; persistent records</x:v>
      </x:c>
      <x:c r="E185" s="37" t="str">
        <x:v>Must</x:v>
      </x:c>
      <x:c r="F185" s="37" t="str">
        <x:v>Strict-route gate</x:v>
      </x:c>
      <x:c r="G185" s="37" t="str">
        <x:v>Karaoke Walk of Stars: Reliable structured data storage, retrieval, and updates.</x:v>
      </x:c>
      <x:c r="H185" s="38" t="str">
        <x:v>Experience map, honoree data model, visual direction, one small explorable route, public share page.</x:v>
      </x:c>
    </x:row>
    <x:row r="186" ht="48" customHeight="1">
      <x:c r="A186" s="60" t="str">
        <x:v>DOS-010</x:v>
      </x:c>
      <x:c r="B186" s="37" t="str">
        <x:v>Karaoke Walk of Stars</x:v>
      </x:c>
      <x:c r="C186" s="37" t="str">
        <x:v>FAM-15</x:v>
      </x:c>
      <x:c r="D186" s="37" t="str">
        <x:v>Social, realtime &amp; collaboration</x:v>
      </x:c>
      <x:c r="E186" s="37" t="str">
        <x:v>Must</x:v>
      </x:c>
      <x:c r="F186" s="37" t="str">
        <x:v>Strict-route gate</x:v>
      </x:c>
      <x:c r="G186" s="37" t="str">
        <x:v>Karaoke Walk of Stars: Feeds, messaging, groups, sharing, realtime updates, or multi-user creation.</x:v>
      </x:c>
      <x:c r="H186" s="38" t="str">
        <x:v>Experience map, honoree data model, visual direction, one small explorable route, public share page.</x:v>
      </x:c>
    </x:row>
    <x:row r="187" ht="48" customHeight="1">
      <x:c r="A187" s="60" t="str">
        <x:v>DOS-010</x:v>
      </x:c>
      <x:c r="B187" s="37" t="str">
        <x:v>Karaoke Walk of Stars</x:v>
      </x:c>
      <x:c r="C187" s="37" t="str">
        <x:v>FAM-19</x:v>
      </x:c>
      <x:c r="D187" s="37" t="str">
        <x:v>Rewards, badges &amp; entitlements</x:v>
      </x:c>
      <x:c r="E187" s="37" t="str">
        <x:v>Must</x:v>
      </x:c>
      <x:c r="F187" s="37" t="str">
        <x:v>Strict-route gate</x:v>
      </x:c>
      <x:c r="G187" s="37" t="str">
        <x:v>Karaoke Walk of Stars: Loyalty, roles, rewards, badges, credits, and access logic.</x:v>
      </x:c>
      <x:c r="H187" s="38" t="str">
        <x:v>Experience map, honoree data model, visual direction, one small explorable route, public share page.</x:v>
      </x:c>
    </x:row>
    <x:row r="188" ht="48" customHeight="1">
      <x:c r="A188" s="60" t="str">
        <x:v>DOS-010</x:v>
      </x:c>
      <x:c r="B188" s="37" t="str">
        <x:v>Karaoke Walk of Stars</x:v>
      </x:c>
      <x:c r="C188" s="37" t="str">
        <x:v>FAM-23</x:v>
      </x:c>
      <x:c r="D188" s="37" t="str">
        <x:v>Public website, SEO &amp; domain control</x:v>
      </x:c>
      <x:c r="E188" s="37" t="str">
        <x:v>Must</x:v>
      </x:c>
      <x:c r="F188" s="37" t="str">
        <x:v>Strict-route gate</x:v>
      </x:c>
      <x:c r="G188" s="37" t="str">
        <x:v>Karaoke Walk of Stars: Public pages, discoverability, custom domain, shareability, and search metadata.</x:v>
      </x:c>
      <x:c r="H188" s="38" t="str">
        <x:v>Experience map, honoree data model, visual direction, one small explorable route, public share page.</x:v>
      </x:c>
    </x:row>
    <x:row r="189" ht="48" customHeight="1">
      <x:c r="A189" s="60" t="str">
        <x:v>DOS-010</x:v>
      </x:c>
      <x:c r="B189" s="37" t="str">
        <x:v>Karaoke Walk of Stars</x:v>
      </x:c>
      <x:c r="C189" s="37" t="str">
        <x:v>FAM-37</x:v>
      </x:c>
      <x:c r="D189" s="37" t="str">
        <x:v>Gamification, challenges &amp; progression</x:v>
      </x:c>
      <x:c r="E189" s="37" t="str">
        <x:v>Must</x:v>
      </x:c>
      <x:c r="F189" s="37" t="str">
        <x:v>Strict-route gate</x:v>
      </x:c>
      <x:c r="G189" s="37" t="str">
        <x:v>Karaoke Walk of Stars: Challenges, points, levels, voting, collection, and progress systems.</x:v>
      </x:c>
      <x:c r="H189" s="38" t="str">
        <x:v>Experience map, honoree data model, visual direction, one small explorable route, public share page.</x:v>
      </x:c>
    </x:row>
    <x:row r="190" ht="48" customHeight="1">
      <x:c r="A190" s="60" t="str">
        <x:v>DOS-010</x:v>
      </x:c>
      <x:c r="B190" s="37" t="str">
        <x:v>Karaoke Walk of Stars</x:v>
      </x:c>
      <x:c r="C190" s="37" t="str">
        <x:v>FAM-02</x:v>
      </x:c>
      <x:c r="D190" s="37" t="str">
        <x:v>Android/mobile builder workability</x:v>
      </x:c>
      <x:c r="E190" s="37" t="str">
        <x:v>Important</x:v>
      </x:c>
      <x:c r="F190" s="37" t="str">
        <x:v>Score after gates</x:v>
      </x:c>
      <x:c r="G190" s="37" t="str">
        <x:v>Karaoke Walk of Stars: Derek can build, edit, preview, test, and deploy with reasonable Android/mobile friction.</x:v>
      </x:c>
      <x:c r="H190" s="38" t="str">
        <x:v>Prototype as 2D/low-complexity web journey before true 3D game mechanics.</x:v>
      </x:c>
    </x:row>
    <x:row r="191" ht="48" customHeight="1">
      <x:c r="A191" s="60" t="str">
        <x:v>DOS-010</x:v>
      </x:c>
      <x:c r="B191" s="37" t="str">
        <x:v>Karaoke Walk of Stars</x:v>
      </x:c>
      <x:c r="C191" s="37" t="str">
        <x:v>FAM-06</x:v>
      </x:c>
      <x:c r="D191" s="37" t="str">
        <x:v>Search, filters, lists &amp; directories</x:v>
      </x:c>
      <x:c r="E191" s="37" t="str">
        <x:v>Important</x:v>
      </x:c>
      <x:c r="F191" s="37" t="str">
        <x:v>Score after gates</x:v>
      </x:c>
      <x:c r="G191" s="37" t="str">
        <x:v>Karaoke Walk of Stars: Searchable libraries, member lists, catalog browsing, and filtered views.</x:v>
      </x:c>
      <x:c r="H191" s="38" t="str">
        <x:v>Prototype as 2D/low-complexity web journey before true 3D game mechanics.</x:v>
      </x:c>
    </x:row>
    <x:row r="192" ht="48" customHeight="1">
      <x:c r="A192" s="60" t="str">
        <x:v>DOS-010</x:v>
      </x:c>
      <x:c r="B192" s="37" t="str">
        <x:v>Karaoke Walk of Stars</x:v>
      </x:c>
      <x:c r="C192" s="37" t="str">
        <x:v>FAM-07</x:v>
      </x:c>
      <x:c r="D192" s="37" t="str">
        <x:v>File intake, storage &amp; lifecycle</x:v>
      </x:c>
      <x:c r="E192" s="37" t="str">
        <x:v>Important</x:v>
      </x:c>
      <x:c r="F192" s="37" t="str">
        <x:v>Score after gates</x:v>
      </x:c>
      <x:c r="G192" s="37" t="str">
        <x:v>Karaoke Walk of Stars: Upload/import, validation, storage, retention, and file-size handling.</x:v>
      </x:c>
      <x:c r="H192" s="38" t="str">
        <x:v>Prototype as 2D/low-complexity web journey before true 3D game mechanics.</x:v>
      </x:c>
    </x:row>
    <x:row r="193" ht="48" customHeight="1">
      <x:c r="A193" s="60" t="str">
        <x:v>DOS-010</x:v>
      </x:c>
      <x:c r="B193" s="37" t="str">
        <x:v>Karaoke Walk of Stars</x:v>
      </x:c>
      <x:c r="C193" s="37" t="str">
        <x:v>FAM-16</x:v>
      </x:c>
      <x:c r="D193" s="37" t="str">
        <x:v>Content moderation &amp; reporting</x:v>
      </x:c>
      <x:c r="E193" s="37" t="str">
        <x:v>Important</x:v>
      </x:c>
      <x:c r="F193" s="37" t="str">
        <x:v>Score after gates</x:v>
      </x:c>
      <x:c r="G193" s="37" t="str">
        <x:v>Karaoke Walk of Stars: Reports, queues, permissions, review actions, and community safety controls.</x:v>
      </x:c>
      <x:c r="H193" s="38" t="str">
        <x:v>Prototype as 2D/low-complexity web journey before true 3D game mechanics.</x:v>
      </x:c>
    </x:row>
    <x:row r="194" ht="48" customHeight="1">
      <x:c r="A194" s="60" t="str">
        <x:v>DOS-010</x:v>
      </x:c>
      <x:c r="B194" s="37" t="str">
        <x:v>Karaoke Walk of Stars</x:v>
      </x:c>
      <x:c r="C194" s="37" t="str">
        <x:v>FAM-17</x:v>
      </x:c>
      <x:c r="D194" s="37" t="str">
        <x:v>Payments, subscriptions &amp; billing</x:v>
      </x:c>
      <x:c r="E194" s="37" t="str">
        <x:v>Important</x:v>
      </x:c>
      <x:c r="F194" s="37" t="str">
        <x:v>Score after gates</x:v>
      </x:c>
      <x:c r="G194" s="37" t="str">
        <x:v>Karaoke Walk of Stars: Payments, subscriptions, checkout, entitlements, and billing-aware workflows.</x:v>
      </x:c>
      <x:c r="H194" s="38" t="str">
        <x:v>Prototype as 2D/low-complexity web journey before true 3D game mechanics.</x:v>
      </x:c>
    </x:row>
    <x:row r="195" ht="48" customHeight="1">
      <x:c r="A195" s="60" t="str">
        <x:v>DOS-010</x:v>
      </x:c>
      <x:c r="B195" s="37" t="str">
        <x:v>Karaoke Walk of Stars</x:v>
      </x:c>
      <x:c r="C195" s="37" t="str">
        <x:v>FAM-25</x:v>
      </x:c>
      <x:c r="D195" s="37" t="str">
        <x:v>Analytics, reporting &amp; decision dashboards</x:v>
      </x:c>
      <x:c r="E195" s="37" t="str">
        <x:v>Important</x:v>
      </x:c>
      <x:c r="F195" s="37" t="str">
        <x:v>Score after gates</x:v>
      </x:c>
      <x:c r="G195" s="37" t="str">
        <x:v>Karaoke Walk of Stars: Usage metrics, charts, rankings, reporting, and decision support.</x:v>
      </x:c>
      <x:c r="H195" s="38" t="str">
        <x:v>Prototype as 2D/low-complexity web journey before true 3D game mechanics.</x:v>
      </x:c>
    </x:row>
    <x:row r="196" ht="48" customHeight="1">
      <x:c r="A196" s="60" t="str">
        <x:v>DOS-010</x:v>
      </x:c>
      <x:c r="B196" s="37" t="str">
        <x:v>Karaoke Walk of Stars</x:v>
      </x:c>
      <x:c r="C196" s="37" t="str">
        <x:v>FAM-27</x:v>
      </x:c>
      <x:c r="D196" s="37" t="str">
        <x:v>Portability, ownership &amp; escape path</x:v>
      </x:c>
      <x:c r="E196" s="37" t="str">
        <x:v>Important</x:v>
      </x:c>
      <x:c r="F196" s="37" t="str">
        <x:v>Score after gates</x:v>
      </x:c>
      <x:c r="G196" s="37" t="str">
        <x:v>Karaoke Walk of Stars: Code/data export, GitHub, custom domains, migration, and lock-in control.</x:v>
      </x:c>
      <x:c r="H196" s="38" t="str">
        <x:v>Prototype as 2D/low-complexity web journey before true 3D game mechanics.</x:v>
      </x:c>
    </x:row>
    <x:row r="197" ht="48" customHeight="1">
      <x:c r="A197" s="60" t="str">
        <x:v>DOS-010</x:v>
      </x:c>
      <x:c r="B197" s="37" t="str">
        <x:v>Karaoke Walk of Stars</x:v>
      </x:c>
      <x:c r="C197" s="37" t="str">
        <x:v>FAM-10</x:v>
      </x:c>
      <x:c r="D197" s="37" t="str">
        <x:v>Video, reels &amp; slideshow workflow</x:v>
      </x:c>
      <x:c r="E197" s="37" t="str">
        <x:v>Expansion</x:v>
      </x:c>
      <x:c r="F197" s="37" t="str">
        <x:v>Flexible / later only</x:v>
      </x:c>
      <x:c r="G197" s="37" t="str">
        <x:v>Karaoke Walk of Stars: Video playback/upload, timed slideshows, reels, rendering, and video export.</x:v>
      </x:c>
      <x:c r="H197" s="38" t="str">
        <x:v>Collecting, progression, immersive world, events, sponsorship.</x:v>
      </x:c>
    </x:row>
    <x:row r="198" ht="48" customHeight="1">
      <x:c r="A198" s="60" t="str">
        <x:v>DOS-010</x:v>
      </x:c>
      <x:c r="B198" s="37" t="str">
        <x:v>Karaoke Walk of Stars</x:v>
      </x:c>
      <x:c r="C198" s="37" t="str">
        <x:v>FAM-12</x:v>
      </x:c>
      <x:c r="D198" s="37" t="str">
        <x:v>AI text generation, analysis &amp; agents</x:v>
      </x:c>
      <x:c r="E198" s="37" t="str">
        <x:v>Expansion</x:v>
      </x:c>
      <x:c r="F198" s="37" t="str">
        <x:v>Flexible / later only</x:v>
      </x:c>
      <x:c r="G198" s="37" t="str">
        <x:v>Karaoke Walk of Stars: Prompted generation, classification, summarization, reasoning, or assistant behavior.</x:v>
      </x:c>
      <x:c r="H198" s="38" t="str">
        <x:v>Collecting, progression, immersive world, events, sponsorship.</x:v>
      </x:c>
    </x:row>
    <x:row r="199" ht="48" customHeight="1">
      <x:c r="A199" s="60" t="str">
        <x:v>DOS-010</x:v>
      </x:c>
      <x:c r="B199" s="37" t="str">
        <x:v>Karaoke Walk of Stars</x:v>
      </x:c>
      <x:c r="C199" s="37" t="str">
        <x:v>FAM-20</x:v>
      </x:c>
      <x:c r="D199" s="37" t="str">
        <x:v>Notifications, reminders &amp; deadlines</x:v>
      </x:c>
      <x:c r="E199" s="37" t="str">
        <x:v>Expansion</x:v>
      </x:c>
      <x:c r="F199" s="37" t="str">
        <x:v>Flexible / later only</x:v>
      </x:c>
      <x:c r="G199" s="37" t="str">
        <x:v>Karaoke Walk of Stars: Push/email/in-app reminders, scheduled tasks, and time-bound flows.</x:v>
      </x:c>
      <x:c r="H199" s="38" t="str">
        <x:v>Collecting, progression, immersive world, events, sponsorship.</x:v>
      </x:c>
    </x:row>
    <x:row r="200" ht="48" customHeight="1">
      <x:c r="A200" s="60" t="str">
        <x:v>DOS-010</x:v>
      </x:c>
      <x:c r="B200" s="37" t="str">
        <x:v>Karaoke Walk of Stars</x:v>
      </x:c>
      <x:c r="C200" s="37" t="str">
        <x:v>FAM-32</x:v>
      </x:c>
      <x:c r="D200" s="37" t="str">
        <x:v>Marketplace, templates &amp; creator assets</x:v>
      </x:c>
      <x:c r="E200" s="37" t="str">
        <x:v>Expansion</x:v>
      </x:c>
      <x:c r="F200" s="37" t="str">
        <x:v>Flexible / later only</x:v>
      </x:c>
      <x:c r="G200" s="37" t="str">
        <x:v>Karaoke Walk of Stars: Listings, reusable assets, creator publishing, reviews, and marketplace rules.</x:v>
      </x:c>
      <x:c r="H200" s="38" t="str">
        <x:v>Collecting, progression, immersive world, events, sponsorship.</x:v>
      </x:c>
    </x:row>
    <x:row r="201" ht="48" customHeight="1">
      <x:c r="A201" s="60" t="str">
        <x:v>DOS-010</x:v>
      </x:c>
      <x:c r="B201" s="37" t="str">
        <x:v>Karaoke Walk of Stars</x:v>
      </x:c>
      <x:c r="C201" s="37" t="str">
        <x:v>FAM-38</x:v>
      </x:c>
      <x:c r="D201" s="37" t="str">
        <x:v>Native/desktop packaging route</x:v>
      </x:c>
      <x:c r="E201" s="37" t="str">
        <x:v>Expansion</x:v>
      </x:c>
      <x:c r="F201" s="37" t="str">
        <x:v>Flexible / later only</x:v>
      </x:c>
      <x:c r="G201" s="37" t="str">
        <x:v>Karaoke Walk of Stars: Native mobile or desktop packaging, device integrations, and distribution path.</x:v>
      </x:c>
      <x:c r="H201" s="38" t="str">
        <x:v>Collecting, progression, immersive world, events, sponsorship.</x:v>
      </x:c>
    </x:row>
    <x:row r="202" ht="48" customHeight="1">
      <x:c r="A202" s="60" t="str">
        <x:v>DOS-011</x:v>
      </x:c>
      <x:c r="B202" s="37" t="str">
        <x:v>zaf.rocks Central Hub</x:v>
      </x:c>
      <x:c r="C202" s="37" t="str">
        <x:v>FAM-01</x:v>
      </x:c>
      <x:c r="D202" s="37" t="str">
        <x:v>Responsive web / PWA interface</x:v>
      </x:c>
      <x:c r="E202" s="37" t="str">
        <x:v>Must</x:v>
      </x:c>
      <x:c r="F202" s="37" t="str">
        <x:v>Strict-route gate</x:v>
      </x:c>
      <x:c r="G202" s="37" t="str">
        <x:v>zaf.rocks Central Hub: Mobile-first responsive screens and app-like web navigation.</x:v>
      </x:c>
      <x:c r="H202" s="38" t="str">
        <x:v>Homepage, product landing routes, domain/subdomain architecture, CMS, navigation, basic analytics, lead/CTA paths.</x:v>
      </x:c>
    </x:row>
    <x:row r="203" ht="48" customHeight="1">
      <x:c r="A203" s="60" t="str">
        <x:v>DOS-011</x:v>
      </x:c>
      <x:c r="B203" s="37" t="str">
        <x:v>zaf.rocks Central Hub</x:v>
      </x:c>
      <x:c r="C203" s="37" t="str">
        <x:v>FAM-23</x:v>
      </x:c>
      <x:c r="D203" s="37" t="str">
        <x:v>Public website, SEO &amp; domain control</x:v>
      </x:c>
      <x:c r="E203" s="37" t="str">
        <x:v>Must</x:v>
      </x:c>
      <x:c r="F203" s="37" t="str">
        <x:v>Strict-route gate</x:v>
      </x:c>
      <x:c r="G203" s="37" t="str">
        <x:v>zaf.rocks Central Hub: Public pages, discoverability, custom domain, shareability, and search metadata.</x:v>
      </x:c>
      <x:c r="H203" s="38" t="str">
        <x:v>Homepage, product landing routes, domain/subdomain architecture, CMS, navigation, basic analytics, lead/CTA paths.</x:v>
      </x:c>
    </x:row>
    <x:row r="204" ht="48" customHeight="1">
      <x:c r="A204" s="60" t="str">
        <x:v>DOS-011</x:v>
      </x:c>
      <x:c r="B204" s="37" t="str">
        <x:v>zaf.rocks Central Hub</x:v>
      </x:c>
      <x:c r="C204" s="37" t="str">
        <x:v>FAM-26</x:v>
      </x:c>
      <x:c r="D204" s="37" t="str">
        <x:v>Admin, CMS &amp; operational management</x:v>
      </x:c>
      <x:c r="E204" s="37" t="str">
        <x:v>Must</x:v>
      </x:c>
      <x:c r="F204" s="37" t="str">
        <x:v>Strict-route gate</x:v>
      </x:c>
      <x:c r="G204" s="37" t="str">
        <x:v>zaf.rocks Central Hub: Admin views, content management, operational review, and human overrides.</x:v>
      </x:c>
      <x:c r="H204" s="38" t="str">
        <x:v>Homepage, product landing routes, domain/subdomain architecture, CMS, navigation, basic analytics, lead/CTA paths.</x:v>
      </x:c>
    </x:row>
    <x:row r="205" ht="48" customHeight="1">
      <x:c r="A205" s="60" t="str">
        <x:v>DOS-011</x:v>
      </x:c>
      <x:c r="B205" s="37" t="str">
        <x:v>zaf.rocks Central Hub</x:v>
      </x:c>
      <x:c r="C205" s="37" t="str">
        <x:v>FAM-27</x:v>
      </x:c>
      <x:c r="D205" s="37" t="str">
        <x:v>Portability, ownership &amp; escape path</x:v>
      </x:c>
      <x:c r="E205" s="37" t="str">
        <x:v>Must</x:v>
      </x:c>
      <x:c r="F205" s="37" t="str">
        <x:v>Strict-route gate</x:v>
      </x:c>
      <x:c r="G205" s="37" t="str">
        <x:v>zaf.rocks Central Hub: Code/data export, GitHub, custom domains, migration, and lock-in control.</x:v>
      </x:c>
      <x:c r="H205" s="38" t="str">
        <x:v>Homepage, product landing routes, domain/subdomain architecture, CMS, navigation, basic analytics, lead/CTA paths.</x:v>
      </x:c>
    </x:row>
    <x:row r="206" ht="48" customHeight="1">
      <x:c r="A206" s="60" t="str">
        <x:v>DOS-011</x:v>
      </x:c>
      <x:c r="B206" s="37" t="str">
        <x:v>zaf.rocks Central Hub</x:v>
      </x:c>
      <x:c r="C206" s="37" t="str">
        <x:v>FAM-40</x:v>
      </x:c>
      <x:c r="D206" s="37" t="str">
        <x:v>Research, validation &amp; launch experiment</x:v>
      </x:c>
      <x:c r="E206" s="37" t="str">
        <x:v>Must</x:v>
      </x:c>
      <x:c r="F206" s="37" t="str">
        <x:v>Strict-route gate</x:v>
      </x:c>
      <x:c r="G206" s="37" t="str">
        <x:v>zaf.rocks Central Hub: Landing tests, surveys, waitlists, hypotheses, experiments, and evidence capture.</x:v>
      </x:c>
      <x:c r="H206" s="38" t="str">
        <x:v>Homepage, product landing routes, domain/subdomain architecture, CMS, navigation, basic analytics, lead/CTA paths.</x:v>
      </x:c>
    </x:row>
    <x:row r="207" ht="48" customHeight="1">
      <x:c r="A207" s="60" t="str">
        <x:v>DOS-011</x:v>
      </x:c>
      <x:c r="B207" s="37" t="str">
        <x:v>zaf.rocks Central Hub</x:v>
      </x:c>
      <x:c r="C207" s="37" t="str">
        <x:v>FAM-02</x:v>
      </x:c>
      <x:c r="D207" s="37" t="str">
        <x:v>Android/mobile builder workability</x:v>
      </x:c>
      <x:c r="E207" s="37" t="str">
        <x:v>Important</x:v>
      </x:c>
      <x:c r="F207" s="37" t="str">
        <x:v>Score after gates</x:v>
      </x:c>
      <x:c r="G207" s="37" t="str">
        <x:v>zaf.rocks Central Hub: Derek can build, edit, preview, test, and deploy with reasonable Android/mobile friction.</x:v>
      </x:c>
      <x:c r="H207" s="38" t="str">
        <x:v>Start with the institutional site and top-product landing pages; defer a giant portal.</x:v>
      </x:c>
    </x:row>
    <x:row r="208" ht="48" customHeight="1">
      <x:c r="A208" s="60" t="str">
        <x:v>DOS-011</x:v>
      </x:c>
      <x:c r="B208" s="37" t="str">
        <x:v>zaf.rocks Central Hub</x:v>
      </x:c>
      <x:c r="C208" s="37" t="str">
        <x:v>FAM-06</x:v>
      </x:c>
      <x:c r="D208" s="37" t="str">
        <x:v>Search, filters, lists &amp; directories</x:v>
      </x:c>
      <x:c r="E208" s="37" t="str">
        <x:v>Important</x:v>
      </x:c>
      <x:c r="F208" s="37" t="str">
        <x:v>Score after gates</x:v>
      </x:c>
      <x:c r="G208" s="37" t="str">
        <x:v>zaf.rocks Central Hub: Searchable libraries, member lists, catalog browsing, and filtered views.</x:v>
      </x:c>
      <x:c r="H208" s="38" t="str">
        <x:v>Start with the institutional site and top-product landing pages; defer a giant portal.</x:v>
      </x:c>
    </x:row>
    <x:row r="209" ht="48" customHeight="1">
      <x:c r="A209" s="60" t="str">
        <x:v>DOS-011</x:v>
      </x:c>
      <x:c r="B209" s="37" t="str">
        <x:v>zaf.rocks Central Hub</x:v>
      </x:c>
      <x:c r="C209" s="37" t="str">
        <x:v>FAM-17</x:v>
      </x:c>
      <x:c r="D209" s="37" t="str">
        <x:v>Payments, subscriptions &amp; billing</x:v>
      </x:c>
      <x:c r="E209" s="37" t="str">
        <x:v>Important</x:v>
      </x:c>
      <x:c r="F209" s="37" t="str">
        <x:v>Score after gates</x:v>
      </x:c>
      <x:c r="G209" s="37" t="str">
        <x:v>zaf.rocks Central Hub: Payments, subscriptions, checkout, entitlements, and billing-aware workflows.</x:v>
      </x:c>
      <x:c r="H209" s="38" t="str">
        <x:v>Start with the institutional site and top-product landing pages; defer a giant portal.</x:v>
      </x:c>
    </x:row>
    <x:row r="210" ht="48" customHeight="1">
      <x:c r="A210" s="60" t="str">
        <x:v>DOS-011</x:v>
      </x:c>
      <x:c r="B210" s="37" t="str">
        <x:v>zaf.rocks Central Hub</x:v>
      </x:c>
      <x:c r="C210" s="37" t="str">
        <x:v>FAM-24</x:v>
      </x:c>
      <x:c r="D210" s="37" t="str">
        <x:v>Export, publishing &amp; share routes</x:v>
      </x:c>
      <x:c r="E210" s="37" t="str">
        <x:v>Important</x:v>
      </x:c>
      <x:c r="F210" s="37" t="str">
        <x:v>Score after gates</x:v>
      </x:c>
      <x:c r="G210" s="37" t="str">
        <x:v>zaf.rocks Central Hub: Download/export, social publishing, share links, and portable output packages.</x:v>
      </x:c>
      <x:c r="H210" s="38" t="str">
        <x:v>Start with the institutional site and top-product landing pages; defer a giant portal.</x:v>
      </x:c>
    </x:row>
    <x:row r="211" ht="48" customHeight="1">
      <x:c r="A211" s="60" t="str">
        <x:v>DOS-011</x:v>
      </x:c>
      <x:c r="B211" s="37" t="str">
        <x:v>zaf.rocks Central Hub</x:v>
      </x:c>
      <x:c r="C211" s="37" t="str">
        <x:v>FAM-25</x:v>
      </x:c>
      <x:c r="D211" s="37" t="str">
        <x:v>Analytics, reporting &amp; decision dashboards</x:v>
      </x:c>
      <x:c r="E211" s="37" t="str">
        <x:v>Important</x:v>
      </x:c>
      <x:c r="F211" s="37" t="str">
        <x:v>Score after gates</x:v>
      </x:c>
      <x:c r="G211" s="37" t="str">
        <x:v>zaf.rocks Central Hub: Usage metrics, charts, rankings, reporting, and decision support.</x:v>
      </x:c>
      <x:c r="H211" s="38" t="str">
        <x:v>Start with the institutional site and top-product landing pages; defer a giant portal.</x:v>
      </x:c>
    </x:row>
    <x:row r="212" ht="48" customHeight="1">
      <x:c r="A212" s="60" t="str">
        <x:v>DOS-011</x:v>
      </x:c>
      <x:c r="B212" s="37" t="str">
        <x:v>zaf.rocks Central Hub</x:v>
      </x:c>
      <x:c r="C212" s="37" t="str">
        <x:v>FAM-34</x:v>
      </x:c>
      <x:c r="D212" s="37" t="str">
        <x:v>Lead capture, booking &amp; service commerce</x:v>
      </x:c>
      <x:c r="E212" s="37" t="str">
        <x:v>Important</x:v>
      </x:c>
      <x:c r="F212" s="37" t="str">
        <x:v>Score after gates</x:v>
      </x:c>
      <x:c r="G212" s="37" t="str">
        <x:v>zaf.rocks Central Hub: Inquiry forms, booking, sales funnels, quotes, and service-client handoff.</x:v>
      </x:c>
      <x:c r="H212" s="38" t="str">
        <x:v>Start with the institutional site and top-product landing pages; defer a giant portal.</x:v>
      </x:c>
    </x:row>
    <x:row r="213" ht="48" customHeight="1">
      <x:c r="A213" s="60" t="str">
        <x:v>DOS-011</x:v>
      </x:c>
      <x:c r="B213" s="37" t="str">
        <x:v>zaf.rocks Central Hub</x:v>
      </x:c>
      <x:c r="C213" s="37" t="str">
        <x:v>FAM-03</x:v>
      </x:c>
      <x:c r="D213" s="37" t="str">
        <x:v>Authentication, identity &amp; roles</x:v>
      </x:c>
      <x:c r="E213" s="37" t="str">
        <x:v>Expansion</x:v>
      </x:c>
      <x:c r="F213" s="37" t="str">
        <x:v>Flexible / later only</x:v>
      </x:c>
      <x:c r="G213" s="37" t="str">
        <x:v>zaf.rocks Central Hub: Sign-in, role-aware access, member identity, and permissions.</x:v>
      </x:c>
      <x:c r="H213" s="38" t="str">
        <x:v>Artist domains, prestige destinations, commerce, public archives.</x:v>
      </x:c>
    </x:row>
    <x:row r="214" ht="48" customHeight="1">
      <x:c r="A214" s="60" t="str">
        <x:v>DOS-011</x:v>
      </x:c>
      <x:c r="B214" s="37" t="str">
        <x:v>zaf.rocks Central Hub</x:v>
      </x:c>
      <x:c r="C214" s="37" t="str">
        <x:v>FAM-04</x:v>
      </x:c>
      <x:c r="D214" s="37" t="str">
        <x:v>Profiles, portfolios &amp; relationship records</x:v>
      </x:c>
      <x:c r="E214" s="37" t="str">
        <x:v>Expansion</x:v>
      </x:c>
      <x:c r="F214" s="37" t="str">
        <x:v>Flexible / later only</x:v>
      </x:c>
      <x:c r="G214" s="37" t="str">
        <x:v>zaf.rocks Central Hub: Persistent user/member/creator profiles and linked relationships.</x:v>
      </x:c>
      <x:c r="H214" s="38" t="str">
        <x:v>Artist domains, prestige destinations, commerce, public archives.</x:v>
      </x:c>
    </x:row>
    <x:row r="215" ht="48" customHeight="1">
      <x:c r="A215" s="60" t="str">
        <x:v>DOS-011</x:v>
      </x:c>
      <x:c r="B215" s="37" t="str">
        <x:v>zaf.rocks Central Hub</x:v>
      </x:c>
      <x:c r="C215" s="37" t="str">
        <x:v>FAM-12</x:v>
      </x:c>
      <x:c r="D215" s="37" t="str">
        <x:v>AI text generation, analysis &amp; agents</x:v>
      </x:c>
      <x:c r="E215" s="37" t="str">
        <x:v>Expansion</x:v>
      </x:c>
      <x:c r="F215" s="37" t="str">
        <x:v>Flexible / later only</x:v>
      </x:c>
      <x:c r="G215" s="37" t="str">
        <x:v>zaf.rocks Central Hub: Prompted generation, classification, summarization, reasoning, or assistant behavior.</x:v>
      </x:c>
      <x:c r="H215" s="38" t="str">
        <x:v>Artist domains, prestige destinations, commerce, public archives.</x:v>
      </x:c>
    </x:row>
    <x:row r="216" ht="48" customHeight="1">
      <x:c r="A216" s="60" t="str">
        <x:v>DOS-011</x:v>
      </x:c>
      <x:c r="B216" s="37" t="str">
        <x:v>zaf.rocks Central Hub</x:v>
      </x:c>
      <x:c r="C216" s="37" t="str">
        <x:v>FAM-18</x:v>
      </x:c>
      <x:c r="D216" s="37" t="str">
        <x:v>Commerce, catalog &amp; fulfillment</x:v>
      </x:c>
      <x:c r="E216" s="37" t="str">
        <x:v>Expansion</x:v>
      </x:c>
      <x:c r="F216" s="37" t="str">
        <x:v>Flexible / later only</x:v>
      </x:c>
      <x:c r="G216" s="37" t="str">
        <x:v>zaf.rocks Central Hub: Product catalogs, ecommerce, orders, print-on-demand, and fulfillment integrations.</x:v>
      </x:c>
      <x:c r="H216" s="38" t="str">
        <x:v>Artist domains, prestige destinations, commerce, public archives.</x:v>
      </x:c>
    </x:row>
    <x:row r="217" ht="48" customHeight="1">
      <x:c r="A217" s="60" t="str">
        <x:v>DOS-012</x:v>
      </x:c>
      <x:c r="B217" s="37" t="str">
        <x:v>Artist Portfolio Initiative</x:v>
      </x:c>
      <x:c r="C217" s="37" t="str">
        <x:v>FAM-01</x:v>
      </x:c>
      <x:c r="D217" s="37" t="str">
        <x:v>Responsive web / PWA interface</x:v>
      </x:c>
      <x:c r="E217" s="37" t="str">
        <x:v>Must</x:v>
      </x:c>
      <x:c r="F217" s="37" t="str">
        <x:v>Strict-route gate</x:v>
      </x:c>
      <x:c r="G217" s="37" t="str">
        <x:v>Artist Portfolio Initiative: Mobile-first responsive screens and app-like web navigation.</x:v>
      </x:c>
      <x:c r="H217" s="38" t="str">
        <x:v>2–3 package tiers, intake workflow, reusable site template, example portfolio, inquiry/checkout route.</x:v>
      </x:c>
    </x:row>
    <x:row r="218" ht="48" customHeight="1">
      <x:c r="A218" s="60" t="str">
        <x:v>DOS-012</x:v>
      </x:c>
      <x:c r="B218" s="37" t="str">
        <x:v>Artist Portfolio Initiative</x:v>
      </x:c>
      <x:c r="C218" s="37" t="str">
        <x:v>FAM-04</x:v>
      </x:c>
      <x:c r="D218" s="37" t="str">
        <x:v>Profiles, portfolios &amp; relationship records</x:v>
      </x:c>
      <x:c r="E218" s="37" t="str">
        <x:v>Must</x:v>
      </x:c>
      <x:c r="F218" s="37" t="str">
        <x:v>Strict-route gate</x:v>
      </x:c>
      <x:c r="G218" s="37" t="str">
        <x:v>Artist Portfolio Initiative: Persistent user/member/creator profiles and linked relationships.</x:v>
      </x:c>
      <x:c r="H218" s="38" t="str">
        <x:v>2–3 package tiers, intake workflow, reusable site template, example portfolio, inquiry/checkout route.</x:v>
      </x:c>
    </x:row>
    <x:row r="219" ht="48" customHeight="1">
      <x:c r="A219" s="60" t="str">
        <x:v>DOS-012</x:v>
      </x:c>
      <x:c r="B219" s="37" t="str">
        <x:v>Artist Portfolio Initiative</x:v>
      </x:c>
      <x:c r="C219" s="37" t="str">
        <x:v>FAM-05</x:v>
      </x:c>
      <x:c r="D219" s="37" t="str">
        <x:v>Structured database &amp; persistent records</x:v>
      </x:c>
      <x:c r="E219" s="37" t="str">
        <x:v>Must</x:v>
      </x:c>
      <x:c r="F219" s="37" t="str">
        <x:v>Strict-route gate</x:v>
      </x:c>
      <x:c r="G219" s="37" t="str">
        <x:v>Artist Portfolio Initiative: Reliable structured data storage, retrieval, and updates.</x:v>
      </x:c>
      <x:c r="H219" s="38" t="str">
        <x:v>2–3 package tiers, intake workflow, reusable site template, example portfolio, inquiry/checkout route.</x:v>
      </x:c>
    </x:row>
    <x:row r="220" ht="48" customHeight="1">
      <x:c r="A220" s="60" t="str">
        <x:v>DOS-012</x:v>
      </x:c>
      <x:c r="B220" s="37" t="str">
        <x:v>Artist Portfolio Initiative</x:v>
      </x:c>
      <x:c r="C220" s="37" t="str">
        <x:v>FAM-06</x:v>
      </x:c>
      <x:c r="D220" s="37" t="str">
        <x:v>Search, filters, lists &amp; directories</x:v>
      </x:c>
      <x:c r="E220" s="37" t="str">
        <x:v>Must</x:v>
      </x:c>
      <x:c r="F220" s="37" t="str">
        <x:v>Strict-route gate</x:v>
      </x:c>
      <x:c r="G220" s="37" t="str">
        <x:v>Artist Portfolio Initiative: Searchable libraries, member lists, catalog browsing, and filtered views.</x:v>
      </x:c>
      <x:c r="H220" s="38" t="str">
        <x:v>2–3 package tiers, intake workflow, reusable site template, example portfolio, inquiry/checkout route.</x:v>
      </x:c>
    </x:row>
    <x:row r="221" ht="48" customHeight="1">
      <x:c r="A221" s="60" t="str">
        <x:v>DOS-012</x:v>
      </x:c>
      <x:c r="B221" s="37" t="str">
        <x:v>Artist Portfolio Initiative</x:v>
      </x:c>
      <x:c r="C221" s="37" t="str">
        <x:v>FAM-23</x:v>
      </x:c>
      <x:c r="D221" s="37" t="str">
        <x:v>Public website, SEO &amp; domain control</x:v>
      </x:c>
      <x:c r="E221" s="37" t="str">
        <x:v>Must</x:v>
      </x:c>
      <x:c r="F221" s="37" t="str">
        <x:v>Strict-route gate</x:v>
      </x:c>
      <x:c r="G221" s="37" t="str">
        <x:v>Artist Portfolio Initiative: Public pages, discoverability, custom domain, shareability, and search metadata.</x:v>
      </x:c>
      <x:c r="H221" s="38" t="str">
        <x:v>2–3 package tiers, intake workflow, reusable site template, example portfolio, inquiry/checkout route.</x:v>
      </x:c>
    </x:row>
    <x:row r="222" ht="48" customHeight="1">
      <x:c r="A222" s="60" t="str">
        <x:v>DOS-012</x:v>
      </x:c>
      <x:c r="B222" s="37" t="str">
        <x:v>Artist Portfolio Initiative</x:v>
      </x:c>
      <x:c r="C222" s="37" t="str">
        <x:v>FAM-26</x:v>
      </x:c>
      <x:c r="D222" s="37" t="str">
        <x:v>Admin, CMS &amp; operational management</x:v>
      </x:c>
      <x:c r="E222" s="37" t="str">
        <x:v>Must</x:v>
      </x:c>
      <x:c r="F222" s="37" t="str">
        <x:v>Strict-route gate</x:v>
      </x:c>
      <x:c r="G222" s="37" t="str">
        <x:v>Artist Portfolio Initiative: Admin views, content management, operational review, and human overrides.</x:v>
      </x:c>
      <x:c r="H222" s="38" t="str">
        <x:v>2–3 package tiers, intake workflow, reusable site template, example portfolio, inquiry/checkout route.</x:v>
      </x:c>
    </x:row>
    <x:row r="223" ht="48" customHeight="1">
      <x:c r="A223" s="60" t="str">
        <x:v>DOS-012</x:v>
      </x:c>
      <x:c r="B223" s="37" t="str">
        <x:v>Artist Portfolio Initiative</x:v>
      </x:c>
      <x:c r="C223" s="37" t="str">
        <x:v>FAM-27</x:v>
      </x:c>
      <x:c r="D223" s="37" t="str">
        <x:v>Portability, ownership &amp; escape path</x:v>
      </x:c>
      <x:c r="E223" s="37" t="str">
        <x:v>Must</x:v>
      </x:c>
      <x:c r="F223" s="37" t="str">
        <x:v>Strict-route gate</x:v>
      </x:c>
      <x:c r="G223" s="37" t="str">
        <x:v>Artist Portfolio Initiative: Code/data export, GitHub, custom domains, migration, and lock-in control.</x:v>
      </x:c>
      <x:c r="H223" s="38" t="str">
        <x:v>2–3 package tiers, intake workflow, reusable site template, example portfolio, inquiry/checkout route.</x:v>
      </x:c>
    </x:row>
    <x:row r="224" ht="48" customHeight="1">
      <x:c r="A224" s="60" t="str">
        <x:v>DOS-012</x:v>
      </x:c>
      <x:c r="B224" s="37" t="str">
        <x:v>Artist Portfolio Initiative</x:v>
      </x:c>
      <x:c r="C224" s="37" t="str">
        <x:v>FAM-02</x:v>
      </x:c>
      <x:c r="D224" s="37" t="str">
        <x:v>Android/mobile builder workability</x:v>
      </x:c>
      <x:c r="E224" s="37" t="str">
        <x:v>Important</x:v>
      </x:c>
      <x:c r="F224" s="37" t="str">
        <x:v>Score after gates</x:v>
      </x:c>
      <x:c r="G224" s="37" t="str">
        <x:v>Artist Portfolio Initiative: Derek can build, edit, preview, test, and deploy with reasonable Android/mobile friction.</x:v>
      </x:c>
      <x:c r="H224" s="38" t="str">
        <x:v>Deliver manually with templates; defer self-serve creator portal.</x:v>
      </x:c>
    </x:row>
    <x:row r="225" ht="48" customHeight="1">
      <x:c r="A225" s="60" t="str">
        <x:v>DOS-012</x:v>
      </x:c>
      <x:c r="B225" s="37" t="str">
        <x:v>Artist Portfolio Initiative</x:v>
      </x:c>
      <x:c r="C225" s="37" t="str">
        <x:v>FAM-03</x:v>
      </x:c>
      <x:c r="D225" s="37" t="str">
        <x:v>Authentication, identity &amp; roles</x:v>
      </x:c>
      <x:c r="E225" s="37" t="str">
        <x:v>Important</x:v>
      </x:c>
      <x:c r="F225" s="37" t="str">
        <x:v>Score after gates</x:v>
      </x:c>
      <x:c r="G225" s="37" t="str">
        <x:v>Artist Portfolio Initiative: Sign-in, role-aware access, member identity, and permissions.</x:v>
      </x:c>
      <x:c r="H225" s="38" t="str">
        <x:v>Deliver manually with templates; defer self-serve creator portal.</x:v>
      </x:c>
    </x:row>
    <x:row r="226" ht="48" customHeight="1">
      <x:c r="A226" s="60" t="str">
        <x:v>DOS-012</x:v>
      </x:c>
      <x:c r="B226" s="37" t="str">
        <x:v>Artist Portfolio Initiative</x:v>
      </x:c>
      <x:c r="C226" s="37" t="str">
        <x:v>FAM-07</x:v>
      </x:c>
      <x:c r="D226" s="37" t="str">
        <x:v>File intake, storage &amp; lifecycle</x:v>
      </x:c>
      <x:c r="E226" s="37" t="str">
        <x:v>Important</x:v>
      </x:c>
      <x:c r="F226" s="37" t="str">
        <x:v>Score after gates</x:v>
      </x:c>
      <x:c r="G226" s="37" t="str">
        <x:v>Artist Portfolio Initiative: Upload/import, validation, storage, retention, and file-size handling.</x:v>
      </x:c>
      <x:c r="H226" s="38" t="str">
        <x:v>Deliver manually with templates; defer self-serve creator portal.</x:v>
      </x:c>
    </x:row>
    <x:row r="227" ht="48" customHeight="1">
      <x:c r="A227" s="60" t="str">
        <x:v>DOS-012</x:v>
      </x:c>
      <x:c r="B227" s="37" t="str">
        <x:v>Artist Portfolio Initiative</x:v>
      </x:c>
      <x:c r="C227" s="37" t="str">
        <x:v>FAM-17</x:v>
      </x:c>
      <x:c r="D227" s="37" t="str">
        <x:v>Payments, subscriptions &amp; billing</x:v>
      </x:c>
      <x:c r="E227" s="37" t="str">
        <x:v>Important</x:v>
      </x:c>
      <x:c r="F227" s="37" t="str">
        <x:v>Score after gates</x:v>
      </x:c>
      <x:c r="G227" s="37" t="str">
        <x:v>Artist Portfolio Initiative: Payments, subscriptions, checkout, entitlements, and billing-aware workflows.</x:v>
      </x:c>
      <x:c r="H227" s="38" t="str">
        <x:v>Deliver manually with templates; defer self-serve creator portal.</x:v>
      </x:c>
    </x:row>
    <x:row r="228" ht="48" customHeight="1">
      <x:c r="A228" s="60" t="str">
        <x:v>DOS-012</x:v>
      </x:c>
      <x:c r="B228" s="37" t="str">
        <x:v>Artist Portfolio Initiative</x:v>
      </x:c>
      <x:c r="C228" s="37" t="str">
        <x:v>FAM-24</x:v>
      </x:c>
      <x:c r="D228" s="37" t="str">
        <x:v>Export, publishing &amp; share routes</x:v>
      </x:c>
      <x:c r="E228" s="37" t="str">
        <x:v>Important</x:v>
      </x:c>
      <x:c r="F228" s="37" t="str">
        <x:v>Score after gates</x:v>
      </x:c>
      <x:c r="G228" s="37" t="str">
        <x:v>Artist Portfolio Initiative: Download/export, social publishing, share links, and portable output packages.</x:v>
      </x:c>
      <x:c r="H228" s="38" t="str">
        <x:v>Deliver manually with templates; defer self-serve creator portal.</x:v>
      </x:c>
    </x:row>
    <x:row r="229" ht="48" customHeight="1">
      <x:c r="A229" s="60" t="str">
        <x:v>DOS-012</x:v>
      </x:c>
      <x:c r="B229" s="37" t="str">
        <x:v>Artist Portfolio Initiative</x:v>
      </x:c>
      <x:c r="C229" s="37" t="str">
        <x:v>FAM-25</x:v>
      </x:c>
      <x:c r="D229" s="37" t="str">
        <x:v>Analytics, reporting &amp; decision dashboards</x:v>
      </x:c>
      <x:c r="E229" s="37" t="str">
        <x:v>Important</x:v>
      </x:c>
      <x:c r="F229" s="37" t="str">
        <x:v>Score after gates</x:v>
      </x:c>
      <x:c r="G229" s="37" t="str">
        <x:v>Artist Portfolio Initiative: Usage metrics, charts, rankings, reporting, and decision support.</x:v>
      </x:c>
      <x:c r="H229" s="38" t="str">
        <x:v>Deliver manually with templates; defer self-serve creator portal.</x:v>
      </x:c>
    </x:row>
    <x:row r="230" ht="48" customHeight="1">
      <x:c r="A230" s="60" t="str">
        <x:v>DOS-012</x:v>
      </x:c>
      <x:c r="B230" s="37" t="str">
        <x:v>Artist Portfolio Initiative</x:v>
      </x:c>
      <x:c r="C230" s="37" t="str">
        <x:v>FAM-34</x:v>
      </x:c>
      <x:c r="D230" s="37" t="str">
        <x:v>Lead capture, booking &amp; service commerce</x:v>
      </x:c>
      <x:c r="E230" s="37" t="str">
        <x:v>Important</x:v>
      </x:c>
      <x:c r="F230" s="37" t="str">
        <x:v>Score after gates</x:v>
      </x:c>
      <x:c r="G230" s="37" t="str">
        <x:v>Artist Portfolio Initiative: Inquiry forms, booking, sales funnels, quotes, and service-client handoff.</x:v>
      </x:c>
      <x:c r="H230" s="38" t="str">
        <x:v>Deliver manually with templates; defer self-serve creator portal.</x:v>
      </x:c>
    </x:row>
    <x:row r="231" ht="48" customHeight="1">
      <x:c r="A231" s="60" t="str">
        <x:v>DOS-012</x:v>
      </x:c>
      <x:c r="B231" s="37" t="str">
        <x:v>Artist Portfolio Initiative</x:v>
      </x:c>
      <x:c r="C231" s="37" t="str">
        <x:v>FAM-08</x:v>
      </x:c>
      <x:c r="D231" s="37" t="str">
        <x:v>Image generation &amp; visual workflow</x:v>
      </x:c>
      <x:c r="E231" s="37" t="str">
        <x:v>Expansion</x:v>
      </x:c>
      <x:c r="F231" s="37" t="str">
        <x:v>Flexible / later only</x:v>
      </x:c>
      <x:c r="G231" s="37" t="str">
        <x:v>Artist Portfolio Initiative: Image creation or intake, visual consistency, thumbnails, variants, and review.</x:v>
      </x:c>
      <x:c r="H231" s="38" t="str">
        <x:v>Portfolio marketplace, Artist Passport, domains, label portal integration.</x:v>
      </x:c>
    </x:row>
    <x:row r="232" ht="48" customHeight="1">
      <x:c r="A232" s="60" t="str">
        <x:v>DOS-012</x:v>
      </x:c>
      <x:c r="B232" s="37" t="str">
        <x:v>Artist Portfolio Initiative</x:v>
      </x:c>
      <x:c r="C232" s="37" t="str">
        <x:v>FAM-15</x:v>
      </x:c>
      <x:c r="D232" s="37" t="str">
        <x:v>Social, realtime &amp; collaboration</x:v>
      </x:c>
      <x:c r="E232" s="37" t="str">
        <x:v>Expansion</x:v>
      </x:c>
      <x:c r="F232" s="37" t="str">
        <x:v>Flexible / later only</x:v>
      </x:c>
      <x:c r="G232" s="37" t="str">
        <x:v>Artist Portfolio Initiative: Feeds, messaging, groups, sharing, realtime updates, or multi-user creation.</x:v>
      </x:c>
      <x:c r="H232" s="38" t="str">
        <x:v>Portfolio marketplace, Artist Passport, domains, label portal integration.</x:v>
      </x:c>
    </x:row>
    <x:row r="233" ht="48" customHeight="1">
      <x:c r="A233" s="60" t="str">
        <x:v>DOS-012</x:v>
      </x:c>
      <x:c r="B233" s="37" t="str">
        <x:v>Artist Portfolio Initiative</x:v>
      </x:c>
      <x:c r="C233" s="37" t="str">
        <x:v>FAM-19</x:v>
      </x:c>
      <x:c r="D233" s="37" t="str">
        <x:v>Rewards, badges &amp; entitlements</x:v>
      </x:c>
      <x:c r="E233" s="37" t="str">
        <x:v>Expansion</x:v>
      </x:c>
      <x:c r="F233" s="37" t="str">
        <x:v>Flexible / later only</x:v>
      </x:c>
      <x:c r="G233" s="37" t="str">
        <x:v>Artist Portfolio Initiative: Loyalty, roles, rewards, badges, credits, and access logic.</x:v>
      </x:c>
      <x:c r="H233" s="38" t="str">
        <x:v>Portfolio marketplace, Artist Passport, domains, label portal integration.</x:v>
      </x:c>
    </x:row>
    <x:row r="234" ht="48" customHeight="1">
      <x:c r="A234" s="60" t="str">
        <x:v>DOS-012</x:v>
      </x:c>
      <x:c r="B234" s="37" t="str">
        <x:v>Artist Portfolio Initiative</x:v>
      </x:c>
      <x:c r="C234" s="37" t="str">
        <x:v>FAM-32</x:v>
      </x:c>
      <x:c r="D234" s="37" t="str">
        <x:v>Marketplace, templates &amp; creator assets</x:v>
      </x:c>
      <x:c r="E234" s="37" t="str">
        <x:v>Expansion</x:v>
      </x:c>
      <x:c r="F234" s="37" t="str">
        <x:v>Flexible / later only</x:v>
      </x:c>
      <x:c r="G234" s="37" t="str">
        <x:v>Artist Portfolio Initiative: Listings, reusable assets, creator publishing, reviews, and marketplace rules.</x:v>
      </x:c>
      <x:c r="H234" s="38" t="str">
        <x:v>Portfolio marketplace, Artist Passport, domains, label portal integration.</x:v>
      </x:c>
    </x:row>
    <x:row r="235" ht="48" customHeight="1">
      <x:c r="A235" s="60" t="str">
        <x:v>DOS-013</x:v>
      </x:c>
      <x:c r="B235" s="37" t="str">
        <x:v>ZAF Production, Label &amp; Talent Portals</x:v>
      </x:c>
      <x:c r="C235" s="37" t="str">
        <x:v>FAM-01</x:v>
      </x:c>
      <x:c r="D235" s="37" t="str">
        <x:v>Responsive web / PWA interface</x:v>
      </x:c>
      <x:c r="E235" s="37" t="str">
        <x:v>Must</x:v>
      </x:c>
      <x:c r="F235" s="37" t="str">
        <x:v>Strict-route gate</x:v>
      </x:c>
      <x:c r="G235" s="37" t="str">
        <x:v>ZAF Production, Label &amp; Talent Portals: Mobile-first responsive screens and app-like web navigation.</x:v>
      </x:c>
      <x:c r="H235" s="38" t="str">
        <x:v>Service pages, offer tiers, intake/lead form, booking/contact, portfolio proof, simple CRM handoff.</x:v>
      </x:c>
    </x:row>
    <x:row r="236" ht="48" customHeight="1">
      <x:c r="A236" s="60" t="str">
        <x:v>DOS-013</x:v>
      </x:c>
      <x:c r="B236" s="37" t="str">
        <x:v>ZAF Production, Label &amp; Talent Portals</x:v>
      </x:c>
      <x:c r="C236" s="37" t="str">
        <x:v>FAM-23</x:v>
      </x:c>
      <x:c r="D236" s="37" t="str">
        <x:v>Public website, SEO &amp; domain control</x:v>
      </x:c>
      <x:c r="E236" s="37" t="str">
        <x:v>Must</x:v>
      </x:c>
      <x:c r="F236" s="37" t="str">
        <x:v>Strict-route gate</x:v>
      </x:c>
      <x:c r="G236" s="37" t="str">
        <x:v>ZAF Production, Label &amp; Talent Portals: Public pages, discoverability, custom domain, shareability, and search metadata.</x:v>
      </x:c>
      <x:c r="H236" s="38" t="str">
        <x:v>Service pages, offer tiers, intake/lead form, booking/contact, portfolio proof, simple CRM handoff.</x:v>
      </x:c>
    </x:row>
    <x:row r="237" ht="48" customHeight="1">
      <x:c r="A237" s="60" t="str">
        <x:v>DOS-013</x:v>
      </x:c>
      <x:c r="B237" s="37" t="str">
        <x:v>ZAF Production, Label &amp; Talent Portals</x:v>
      </x:c>
      <x:c r="C237" s="37" t="str">
        <x:v>FAM-26</x:v>
      </x:c>
      <x:c r="D237" s="37" t="str">
        <x:v>Admin, CMS &amp; operational management</x:v>
      </x:c>
      <x:c r="E237" s="37" t="str">
        <x:v>Must</x:v>
      </x:c>
      <x:c r="F237" s="37" t="str">
        <x:v>Strict-route gate</x:v>
      </x:c>
      <x:c r="G237" s="37" t="str">
        <x:v>ZAF Production, Label &amp; Talent Portals: Admin views, content management, operational review, and human overrides.</x:v>
      </x:c>
      <x:c r="H237" s="38" t="str">
        <x:v>Service pages, offer tiers, intake/lead form, booking/contact, portfolio proof, simple CRM handoff.</x:v>
      </x:c>
    </x:row>
    <x:row r="238" ht="48" customHeight="1">
      <x:c r="A238" s="60" t="str">
        <x:v>DOS-013</x:v>
      </x:c>
      <x:c r="B238" s="37" t="str">
        <x:v>ZAF Production, Label &amp; Talent Portals</x:v>
      </x:c>
      <x:c r="C238" s="37" t="str">
        <x:v>FAM-34</x:v>
      </x:c>
      <x:c r="D238" s="37" t="str">
        <x:v>Lead capture, booking &amp; service commerce</x:v>
      </x:c>
      <x:c r="E238" s="37" t="str">
        <x:v>Must</x:v>
      </x:c>
      <x:c r="F238" s="37" t="str">
        <x:v>Strict-route gate</x:v>
      </x:c>
      <x:c r="G238" s="37" t="str">
        <x:v>ZAF Production, Label &amp; Talent Portals: Inquiry forms, booking, sales funnels, quotes, and service-client handoff.</x:v>
      </x:c>
      <x:c r="H238" s="38" t="str">
        <x:v>Service pages, offer tiers, intake/lead form, booking/contact, portfolio proof, simple CRM handoff.</x:v>
      </x:c>
    </x:row>
    <x:row r="239" ht="48" customHeight="1">
      <x:c r="A239" s="60" t="str">
        <x:v>DOS-013</x:v>
      </x:c>
      <x:c r="B239" s="37" t="str">
        <x:v>ZAF Production, Label &amp; Talent Portals</x:v>
      </x:c>
      <x:c r="C239" s="37" t="str">
        <x:v>FAM-40</x:v>
      </x:c>
      <x:c r="D239" s="37" t="str">
        <x:v>Research, validation &amp; launch experiment</x:v>
      </x:c>
      <x:c r="E239" s="37" t="str">
        <x:v>Must</x:v>
      </x:c>
      <x:c r="F239" s="37" t="str">
        <x:v>Strict-route gate</x:v>
      </x:c>
      <x:c r="G239" s="37" t="str">
        <x:v>ZAF Production, Label &amp; Talent Portals: Landing tests, surveys, waitlists, hypotheses, experiments, and evidence capture.</x:v>
      </x:c>
      <x:c r="H239" s="38" t="str">
        <x:v>Service pages, offer tiers, intake/lead form, booking/contact, portfolio proof, simple CRM handoff.</x:v>
      </x:c>
    </x:row>
    <x:row r="240" ht="48" customHeight="1">
      <x:c r="A240" s="60" t="str">
        <x:v>DOS-013</x:v>
      </x:c>
      <x:c r="B240" s="37" t="str">
        <x:v>ZAF Production, Label &amp; Talent Portals</x:v>
      </x:c>
      <x:c r="C240" s="37" t="str">
        <x:v>FAM-02</x:v>
      </x:c>
      <x:c r="D240" s="37" t="str">
        <x:v>Android/mobile builder workability</x:v>
      </x:c>
      <x:c r="E240" s="37" t="str">
        <x:v>Important</x:v>
      </x:c>
      <x:c r="F240" s="37" t="str">
        <x:v>Score after gates</x:v>
      </x:c>
      <x:c r="G240" s="37" t="str">
        <x:v>ZAF Production, Label &amp; Talent Portals: Derek can build, edit, preview, test, and deploy with reasonable Android/mobile friction.</x:v>
      </x:c>
      <x:c r="H240" s="38" t="str">
        <x:v>Launch one combined portal first; split specialist portals only when demand proves it.</x:v>
      </x:c>
    </x:row>
    <x:row r="241" ht="48" customHeight="1">
      <x:c r="A241" s="60" t="str">
        <x:v>DOS-013</x:v>
      </x:c>
      <x:c r="B241" s="37" t="str">
        <x:v>ZAF Production, Label &amp; Talent Portals</x:v>
      </x:c>
      <x:c r="C241" s="37" t="str">
        <x:v>FAM-17</x:v>
      </x:c>
      <x:c r="D241" s="37" t="str">
        <x:v>Payments, subscriptions &amp; billing</x:v>
      </x:c>
      <x:c r="E241" s="37" t="str">
        <x:v>Important</x:v>
      </x:c>
      <x:c r="F241" s="37" t="str">
        <x:v>Score after gates</x:v>
      </x:c>
      <x:c r="G241" s="37" t="str">
        <x:v>ZAF Production, Label &amp; Talent Portals: Payments, subscriptions, checkout, entitlements, and billing-aware workflows.</x:v>
      </x:c>
      <x:c r="H241" s="38" t="str">
        <x:v>Launch one combined portal first; split specialist portals only when demand proves it.</x:v>
      </x:c>
    </x:row>
    <x:row r="242" ht="48" customHeight="1">
      <x:c r="A242" s="60" t="str">
        <x:v>DOS-013</x:v>
      </x:c>
      <x:c r="B242" s="37" t="str">
        <x:v>ZAF Production, Label &amp; Talent Portals</x:v>
      </x:c>
      <x:c r="C242" s="37" t="str">
        <x:v>FAM-22</x:v>
      </x:c>
      <x:c r="D242" s="37" t="str">
        <x:v>APIs &amp; third-party integrations</x:v>
      </x:c>
      <x:c r="E242" s="37" t="str">
        <x:v>Important</x:v>
      </x:c>
      <x:c r="F242" s="37" t="str">
        <x:v>Score after gates</x:v>
      </x:c>
      <x:c r="G242" s="37" t="str">
        <x:v>ZAF Production, Label &amp; Talent Portals: External services, social/export targets, payment providers, and service connectors.</x:v>
      </x:c>
      <x:c r="H242" s="38" t="str">
        <x:v>Launch one combined portal first; split specialist portals only when demand proves it.</x:v>
      </x:c>
    </x:row>
    <x:row r="243" ht="48" customHeight="1">
      <x:c r="A243" s="60" t="str">
        <x:v>DOS-013</x:v>
      </x:c>
      <x:c r="B243" s="37" t="str">
        <x:v>ZAF Production, Label &amp; Talent Portals</x:v>
      </x:c>
      <x:c r="C243" s="37" t="str">
        <x:v>FAM-25</x:v>
      </x:c>
      <x:c r="D243" s="37" t="str">
        <x:v>Analytics, reporting &amp; decision dashboards</x:v>
      </x:c>
      <x:c r="E243" s="37" t="str">
        <x:v>Important</x:v>
      </x:c>
      <x:c r="F243" s="37" t="str">
        <x:v>Score after gates</x:v>
      </x:c>
      <x:c r="G243" s="37" t="str">
        <x:v>ZAF Production, Label &amp; Talent Portals: Usage metrics, charts, rankings, reporting, and decision support.</x:v>
      </x:c>
      <x:c r="H243" s="38" t="str">
        <x:v>Launch one combined portal first; split specialist portals only when demand proves it.</x:v>
      </x:c>
    </x:row>
    <x:row r="244" ht="48" customHeight="1">
      <x:c r="A244" s="60" t="str">
        <x:v>DOS-013</x:v>
      </x:c>
      <x:c r="B244" s="37" t="str">
        <x:v>ZAF Production, Label &amp; Talent Portals</x:v>
      </x:c>
      <x:c r="C244" s="37" t="str">
        <x:v>FAM-27</x:v>
      </x:c>
      <x:c r="D244" s="37" t="str">
        <x:v>Portability, ownership &amp; escape path</x:v>
      </x:c>
      <x:c r="E244" s="37" t="str">
        <x:v>Important</x:v>
      </x:c>
      <x:c r="F244" s="37" t="str">
        <x:v>Score after gates</x:v>
      </x:c>
      <x:c r="G244" s="37" t="str">
        <x:v>ZAF Production, Label &amp; Talent Portals: Code/data export, GitHub, custom domains, migration, and lock-in control.</x:v>
      </x:c>
      <x:c r="H244" s="38" t="str">
        <x:v>Launch one combined portal first; split specialist portals only when demand proves it.</x:v>
      </x:c>
    </x:row>
    <x:row r="245" ht="48" customHeight="1">
      <x:c r="A245" s="60" t="str">
        <x:v>DOS-013</x:v>
      </x:c>
      <x:c r="B245" s="37" t="str">
        <x:v>ZAF Production, Label &amp; Talent Portals</x:v>
      </x:c>
      <x:c r="C245" s="37" t="str">
        <x:v>FAM-33</x:v>
      </x:c>
      <x:c r="D245" s="37" t="str">
        <x:v>Location, scheduling &amp; service coordination</x:v>
      </x:c>
      <x:c r="E245" s="37" t="str">
        <x:v>Important</x:v>
      </x:c>
      <x:c r="F245" s="37" t="str">
        <x:v>Score after gates</x:v>
      </x:c>
      <x:c r="G245" s="37" t="str">
        <x:v>ZAF Production, Label &amp; Talent Portals: Maps, appointments, resources, availability, or geographic service coordination.</x:v>
      </x:c>
      <x:c r="H245" s="38" t="str">
        <x:v>Launch one combined portal first; split specialist portals only when demand proves it.</x:v>
      </x:c>
    </x:row>
    <x:row r="246" ht="48" customHeight="1">
      <x:c r="A246" s="60" t="str">
        <x:v>DOS-013</x:v>
      </x:c>
      <x:c r="B246" s="37" t="str">
        <x:v>ZAF Production, Label &amp; Talent Portals</x:v>
      </x:c>
      <x:c r="C246" s="37" t="str">
        <x:v>FAM-03</x:v>
      </x:c>
      <x:c r="D246" s="37" t="str">
        <x:v>Authentication, identity &amp; roles</x:v>
      </x:c>
      <x:c r="E246" s="37" t="str">
        <x:v>Expansion</x:v>
      </x:c>
      <x:c r="F246" s="37" t="str">
        <x:v>Flexible / later only</x:v>
      </x:c>
      <x:c r="G246" s="37" t="str">
        <x:v>ZAF Production, Label &amp; Talent Portals: Sign-in, role-aware access, member identity, and permissions.</x:v>
      </x:c>
      <x:c r="H246" s="38" t="str">
        <x:v>Talent Scout Agency, Promotion Services, label ladders, artist domains.</x:v>
      </x:c>
    </x:row>
    <x:row r="247" ht="48" customHeight="1">
      <x:c r="A247" s="60" t="str">
        <x:v>DOS-013</x:v>
      </x:c>
      <x:c r="B247" s="37" t="str">
        <x:v>ZAF Production, Label &amp; Talent Portals</x:v>
      </x:c>
      <x:c r="C247" s="37" t="str">
        <x:v>FAM-04</x:v>
      </x:c>
      <x:c r="D247" s="37" t="str">
        <x:v>Profiles, portfolios &amp; relationship records</x:v>
      </x:c>
      <x:c r="E247" s="37" t="str">
        <x:v>Expansion</x:v>
      </x:c>
      <x:c r="F247" s="37" t="str">
        <x:v>Flexible / later only</x:v>
      </x:c>
      <x:c r="G247" s="37" t="str">
        <x:v>ZAF Production, Label &amp; Talent Portals: Persistent user/member/creator profiles and linked relationships.</x:v>
      </x:c>
      <x:c r="H247" s="38" t="str">
        <x:v>Talent Scout Agency, Promotion Services, label ladders, artist domains.</x:v>
      </x:c>
    </x:row>
    <x:row r="248" ht="48" customHeight="1">
      <x:c r="A248" s="60" t="str">
        <x:v>DOS-013</x:v>
      </x:c>
      <x:c r="B248" s="37" t="str">
        <x:v>ZAF Production, Label &amp; Talent Portals</x:v>
      </x:c>
      <x:c r="C248" s="37" t="str">
        <x:v>FAM-12</x:v>
      </x:c>
      <x:c r="D248" s="37" t="str">
        <x:v>AI text generation, analysis &amp; agents</x:v>
      </x:c>
      <x:c r="E248" s="37" t="str">
        <x:v>Expansion</x:v>
      </x:c>
      <x:c r="F248" s="37" t="str">
        <x:v>Flexible / later only</x:v>
      </x:c>
      <x:c r="G248" s="37" t="str">
        <x:v>ZAF Production, Label &amp; Talent Portals: Prompted generation, classification, summarization, reasoning, or assistant behavior.</x:v>
      </x:c>
      <x:c r="H248" s="38" t="str">
        <x:v>Talent Scout Agency, Promotion Services, label ladders, artist domains.</x:v>
      </x:c>
    </x:row>
    <x:row r="249" ht="48" customHeight="1">
      <x:c r="A249" s="60" t="str">
        <x:v>DOS-013</x:v>
      </x:c>
      <x:c r="B249" s="37" t="str">
        <x:v>ZAF Production, Label &amp; Talent Portals</x:v>
      </x:c>
      <x:c r="C249" s="37" t="str">
        <x:v>FAM-18</x:v>
      </x:c>
      <x:c r="D249" s="37" t="str">
        <x:v>Commerce, catalog &amp; fulfillment</x:v>
      </x:c>
      <x:c r="E249" s="37" t="str">
        <x:v>Expansion</x:v>
      </x:c>
      <x:c r="F249" s="37" t="str">
        <x:v>Flexible / later only</x:v>
      </x:c>
      <x:c r="G249" s="37" t="str">
        <x:v>ZAF Production, Label &amp; Talent Portals: Product catalogs, ecommerce, orders, print-on-demand, and fulfillment integrations.</x:v>
      </x:c>
      <x:c r="H249" s="38" t="str">
        <x:v>Talent Scout Agency, Promotion Services, label ladders, artist domains.</x:v>
      </x:c>
    </x:row>
    <x:row r="250" ht="48" customHeight="1">
      <x:c r="A250" s="60" t="str">
        <x:v>DOS-014</x:v>
      </x:c>
      <x:c r="B250" s="37" t="str">
        <x:v>Zaffie</x:v>
      </x:c>
      <x:c r="C250" s="37" t="str">
        <x:v>FAM-01</x:v>
      </x:c>
      <x:c r="D250" s="37" t="str">
        <x:v>Responsive web / PWA interface</x:v>
      </x:c>
      <x:c r="E250" s="37" t="str">
        <x:v>Must</x:v>
      </x:c>
      <x:c r="F250" s="37" t="str">
        <x:v>Strict-route gate</x:v>
      </x:c>
      <x:c r="G250" s="37" t="str">
        <x:v>Zaffie: Mobile-first responsive screens and app-like web navigation.</x:v>
      </x:c>
      <x:c r="H250" s="38" t="str">
        <x:v>Voice/personality rules, onboarding scripts, first guided flows, handoff boundaries, safe visible UI.</x:v>
      </x:c>
    </x:row>
    <x:row r="251" ht="48" customHeight="1">
      <x:c r="A251" s="60" t="str">
        <x:v>DOS-014</x:v>
      </x:c>
      <x:c r="B251" s="37" t="str">
        <x:v>Zaffie</x:v>
      </x:c>
      <x:c r="C251" s="37" t="str">
        <x:v>FAM-05</x:v>
      </x:c>
      <x:c r="D251" s="37" t="str">
        <x:v>Structured database &amp; persistent records</x:v>
      </x:c>
      <x:c r="E251" s="37" t="str">
        <x:v>Must</x:v>
      </x:c>
      <x:c r="F251" s="37" t="str">
        <x:v>Strict-route gate</x:v>
      </x:c>
      <x:c r="G251" s="37" t="str">
        <x:v>Zaffie: Reliable structured data storage, retrieval, and updates.</x:v>
      </x:c>
      <x:c r="H251" s="38" t="str">
        <x:v>Voice/personality rules, onboarding scripts, first guided flows, handoff boundaries, safe visible UI.</x:v>
      </x:c>
    </x:row>
    <x:row r="252" ht="48" customHeight="1">
      <x:c r="A252" s="60" t="str">
        <x:v>DOS-014</x:v>
      </x:c>
      <x:c r="B252" s="37" t="str">
        <x:v>Zaffie</x:v>
      </x:c>
      <x:c r="C252" s="37" t="str">
        <x:v>FAM-12</x:v>
      </x:c>
      <x:c r="D252" s="37" t="str">
        <x:v>AI text generation, analysis &amp; agents</x:v>
      </x:c>
      <x:c r="E252" s="37" t="str">
        <x:v>Must</x:v>
      </x:c>
      <x:c r="F252" s="37" t="str">
        <x:v>Strict-route gate</x:v>
      </x:c>
      <x:c r="G252" s="37" t="str">
        <x:v>Zaffie: Prompted generation, classification, summarization, reasoning, or assistant behavior.</x:v>
      </x:c>
      <x:c r="H252" s="38" t="str">
        <x:v>Voice/personality rules, onboarding scripts, first guided flows, handoff boundaries, safe visible UI.</x:v>
      </x:c>
    </x:row>
    <x:row r="253" ht="48" customHeight="1">
      <x:c r="A253" s="60" t="str">
        <x:v>DOS-014</x:v>
      </x:c>
      <x:c r="B253" s="37" t="str">
        <x:v>Zaffie</x:v>
      </x:c>
      <x:c r="C253" s="37" t="str">
        <x:v>FAM-23</x:v>
      </x:c>
      <x:c r="D253" s="37" t="str">
        <x:v>Public website, SEO &amp; domain control</x:v>
      </x:c>
      <x:c r="E253" s="37" t="str">
        <x:v>Must</x:v>
      </x:c>
      <x:c r="F253" s="37" t="str">
        <x:v>Strict-route gate</x:v>
      </x:c>
      <x:c r="G253" s="37" t="str">
        <x:v>Zaffie: Public pages, discoverability, custom domain, shareability, and search metadata.</x:v>
      </x:c>
      <x:c r="H253" s="38" t="str">
        <x:v>Voice/personality rules, onboarding scripts, first guided flows, handoff boundaries, safe visible UI.</x:v>
      </x:c>
    </x:row>
    <x:row r="254" ht="48" customHeight="1">
      <x:c r="A254" s="60" t="str">
        <x:v>DOS-014</x:v>
      </x:c>
      <x:c r="B254" s="37" t="str">
        <x:v>Zaffie</x:v>
      </x:c>
      <x:c r="C254" s="37" t="str">
        <x:v>FAM-24</x:v>
      </x:c>
      <x:c r="D254" s="37" t="str">
        <x:v>Export, publishing &amp; share routes</x:v>
      </x:c>
      <x:c r="E254" s="37" t="str">
        <x:v>Must</x:v>
      </x:c>
      <x:c r="F254" s="37" t="str">
        <x:v>Strict-route gate</x:v>
      </x:c>
      <x:c r="G254" s="37" t="str">
        <x:v>Zaffie: Download/export, social publishing, share links, and portable output packages.</x:v>
      </x:c>
      <x:c r="H254" s="38" t="str">
        <x:v>Voice/personality rules, onboarding scripts, first guided flows, handoff boundaries, safe visible UI.</x:v>
      </x:c>
    </x:row>
    <x:row r="255" ht="48" customHeight="1">
      <x:c r="A255" s="60" t="str">
        <x:v>DOS-014</x:v>
      </x:c>
      <x:c r="B255" s="37" t="str">
        <x:v>Zaffie</x:v>
      </x:c>
      <x:c r="C255" s="37" t="str">
        <x:v>FAM-27</x:v>
      </x:c>
      <x:c r="D255" s="37" t="str">
        <x:v>Portability, ownership &amp; escape path</x:v>
      </x:c>
      <x:c r="E255" s="37" t="str">
        <x:v>Must</x:v>
      </x:c>
      <x:c r="F255" s="37" t="str">
        <x:v>Strict-route gate</x:v>
      </x:c>
      <x:c r="G255" s="37" t="str">
        <x:v>Zaffie: Code/data export, GitHub, custom domains, migration, and lock-in control.</x:v>
      </x:c>
      <x:c r="H255" s="38" t="str">
        <x:v>Voice/personality rules, onboarding scripts, first guided flows, handoff boundaries, safe visible UI.</x:v>
      </x:c>
    </x:row>
    <x:row r="256" ht="48" customHeight="1">
      <x:c r="A256" s="60" t="str">
        <x:v>DOS-014</x:v>
      </x:c>
      <x:c r="B256" s="37" t="str">
        <x:v>Zaffie</x:v>
      </x:c>
      <x:c r="C256" s="37" t="str">
        <x:v>FAM-28</x:v>
      </x:c>
      <x:c r="D256" s="37" t="str">
        <x:v>Custom code &amp; extensibility</x:v>
      </x:c>
      <x:c r="E256" s="37" t="str">
        <x:v>Must</x:v>
      </x:c>
      <x:c r="F256" s="37" t="str">
        <x:v>Strict-route gate</x:v>
      </x:c>
      <x:c r="G256" s="37" t="str">
        <x:v>Zaffie: Ability to add bespoke logic, components, SDKs, or developer assistance.</x:v>
      </x:c>
      <x:c r="H256" s="38" t="str">
        <x:v>Voice/personality rules, onboarding scripts, first guided flows, handoff boundaries, safe visible UI.</x:v>
      </x:c>
    </x:row>
    <x:row r="257" ht="48" customHeight="1">
      <x:c r="A257" s="60" t="str">
        <x:v>DOS-014</x:v>
      </x:c>
      <x:c r="B257" s="37" t="str">
        <x:v>Zaffie</x:v>
      </x:c>
      <x:c r="C257" s="37" t="str">
        <x:v>FAM-02</x:v>
      </x:c>
      <x:c r="D257" s="37" t="str">
        <x:v>Android/mobile builder workability</x:v>
      </x:c>
      <x:c r="E257" s="37" t="str">
        <x:v>Important</x:v>
      </x:c>
      <x:c r="F257" s="37" t="str">
        <x:v>Score after gates</x:v>
      </x:c>
      <x:c r="G257" s="37" t="str">
        <x:v>Zaffie: Derek can build, edit, preview, test, and deploy with reasonable Android/mobile friction.</x:v>
      </x:c>
      <x:c r="H257" s="38" t="str">
        <x:v>Start as scripted/contextual guide; defer deep memory and autonomous agent behavior.</x:v>
      </x:c>
    </x:row>
    <x:row r="258" ht="48" customHeight="1">
      <x:c r="A258" s="60" t="str">
        <x:v>DOS-014</x:v>
      </x:c>
      <x:c r="B258" s="37" t="str">
        <x:v>Zaffie</x:v>
      </x:c>
      <x:c r="C258" s="37" t="str">
        <x:v>FAM-03</x:v>
      </x:c>
      <x:c r="D258" s="37" t="str">
        <x:v>Authentication, identity &amp; roles</x:v>
      </x:c>
      <x:c r="E258" s="37" t="str">
        <x:v>Important</x:v>
      </x:c>
      <x:c r="F258" s="37" t="str">
        <x:v>Score after gates</x:v>
      </x:c>
      <x:c r="G258" s="37" t="str">
        <x:v>Zaffie: Sign-in, role-aware access, member identity, and permissions.</x:v>
      </x:c>
      <x:c r="H258" s="38" t="str">
        <x:v>Start as scripted/contextual guide; defer deep memory and autonomous agent behavior.</x:v>
      </x:c>
    </x:row>
    <x:row r="259" ht="48" customHeight="1">
      <x:c r="A259" s="60" t="str">
        <x:v>DOS-014</x:v>
      </x:c>
      <x:c r="B259" s="37" t="str">
        <x:v>Zaffie</x:v>
      </x:c>
      <x:c r="C259" s="37" t="str">
        <x:v>FAM-13</x:v>
      </x:c>
      <x:c r="D259" s="37" t="str">
        <x:v>OCR &amp; structured extraction</x:v>
      </x:c>
      <x:c r="E259" s="37" t="str">
        <x:v>Important</x:v>
      </x:c>
      <x:c r="F259" s="37" t="str">
        <x:v>Score after gates</x:v>
      </x:c>
      <x:c r="G259" s="37" t="str">
        <x:v>Zaffie: Extract fields from screenshots, documents, receipts, or messy content.</x:v>
      </x:c>
      <x:c r="H259" s="38" t="str">
        <x:v>Start as scripted/contextual guide; defer deep memory and autonomous agent behavior.</x:v>
      </x:c>
    </x:row>
    <x:row r="260" ht="48" customHeight="1">
      <x:c r="A260" s="60" t="str">
        <x:v>DOS-014</x:v>
      </x:c>
      <x:c r="B260" s="37" t="str">
        <x:v>Zaffie</x:v>
      </x:c>
      <x:c r="C260" s="37" t="str">
        <x:v>FAM-14</x:v>
      </x:c>
      <x:c r="D260" s="37" t="str">
        <x:v>Personalization, memory &amp; preferences</x:v>
      </x:c>
      <x:c r="E260" s="37" t="str">
        <x:v>Important</x:v>
      </x:c>
      <x:c r="F260" s="37" t="str">
        <x:v>Score after gates</x:v>
      </x:c>
      <x:c r="G260" s="37" t="str">
        <x:v>Zaffie: Saved preferences, history, source memory, and adaptive outputs.</x:v>
      </x:c>
      <x:c r="H260" s="38" t="str">
        <x:v>Start as scripted/contextual guide; defer deep memory and autonomous agent behavior.</x:v>
      </x:c>
    </x:row>
    <x:row r="261" ht="48" customHeight="1">
      <x:c r="A261" s="60" t="str">
        <x:v>DOS-014</x:v>
      </x:c>
      <x:c r="B261" s="37" t="str">
        <x:v>Zaffie</x:v>
      </x:c>
      <x:c r="C261" s="37" t="str">
        <x:v>FAM-17</x:v>
      </x:c>
      <x:c r="D261" s="37" t="str">
        <x:v>Payments, subscriptions &amp; billing</x:v>
      </x:c>
      <x:c r="E261" s="37" t="str">
        <x:v>Important</x:v>
      </x:c>
      <x:c r="F261" s="37" t="str">
        <x:v>Score after gates</x:v>
      </x:c>
      <x:c r="G261" s="37" t="str">
        <x:v>Zaffie: Payments, subscriptions, checkout, entitlements, and billing-aware workflows.</x:v>
      </x:c>
      <x:c r="H261" s="38" t="str">
        <x:v>Start as scripted/contextual guide; defer deep memory and autonomous agent behavior.</x:v>
      </x:c>
    </x:row>
    <x:row r="262" ht="48" customHeight="1">
      <x:c r="A262" s="60" t="str">
        <x:v>DOS-014</x:v>
      </x:c>
      <x:c r="B262" s="37" t="str">
        <x:v>Zaffie</x:v>
      </x:c>
      <x:c r="C262" s="37" t="str">
        <x:v>FAM-25</x:v>
      </x:c>
      <x:c r="D262" s="37" t="str">
        <x:v>Analytics, reporting &amp; decision dashboards</x:v>
      </x:c>
      <x:c r="E262" s="37" t="str">
        <x:v>Important</x:v>
      </x:c>
      <x:c r="F262" s="37" t="str">
        <x:v>Score after gates</x:v>
      </x:c>
      <x:c r="G262" s="37" t="str">
        <x:v>Zaffie: Usage metrics, charts, rankings, reporting, and decision support.</x:v>
      </x:c>
      <x:c r="H262" s="38" t="str">
        <x:v>Start as scripted/contextual guide; defer deep memory and autonomous agent behavior.</x:v>
      </x:c>
    </x:row>
    <x:row r="263" ht="48" customHeight="1">
      <x:c r="A263" s="60" t="str">
        <x:v>DOS-014</x:v>
      </x:c>
      <x:c r="B263" s="37" t="str">
        <x:v>Zaffie</x:v>
      </x:c>
      <x:c r="C263" s="37" t="str">
        <x:v>FAM-29</x:v>
      </x:c>
      <x:c r="D263" s="37" t="str">
        <x:v>Backend functions, APIs &amp; background compute</x:v>
      </x:c>
      <x:c r="E263" s="37" t="str">
        <x:v>Important</x:v>
      </x:c>
      <x:c r="F263" s="37" t="str">
        <x:v>Score after gates</x:v>
      </x:c>
      <x:c r="G263" s="37" t="str">
        <x:v>Zaffie: Server functions, secure APIs, logs, queues, scheduled tasks, and secrets.</x:v>
      </x:c>
      <x:c r="H263" s="38" t="str">
        <x:v>Start as scripted/contextual guide; defer deep memory and autonomous agent behavior.</x:v>
      </x:c>
    </x:row>
    <x:row r="264" ht="48" customHeight="1">
      <x:c r="A264" s="60" t="str">
        <x:v>DOS-014</x:v>
      </x:c>
      <x:c r="B264" s="37" t="str">
        <x:v>Zaffie</x:v>
      </x:c>
      <x:c r="C264" s="37" t="str">
        <x:v>FAM-35</x:v>
      </x:c>
      <x:c r="D264" s="37" t="str">
        <x:v>Privacy, consent &amp; audit trail</x:v>
      </x:c>
      <x:c r="E264" s="37" t="str">
        <x:v>Important</x:v>
      </x:c>
      <x:c r="F264" s="37" t="str">
        <x:v>Score after gates</x:v>
      </x:c>
      <x:c r="G264" s="37" t="str">
        <x:v>Zaffie: Consent, retention, access controls, provenance, and auditable actions.</x:v>
      </x:c>
      <x:c r="H264" s="38" t="str">
        <x:v>Start as scripted/contextual guide; defer deep memory and autonomous agent behavior.</x:v>
      </x:c>
    </x:row>
    <x:row r="265" ht="48" customHeight="1">
      <x:c r="A265" s="60" t="str">
        <x:v>DOS-014</x:v>
      </x:c>
      <x:c r="B265" s="37" t="str">
        <x:v>Zaffie</x:v>
      </x:c>
      <x:c r="C265" s="37" t="str">
        <x:v>FAM-15</x:v>
      </x:c>
      <x:c r="D265" s="37" t="str">
        <x:v>Social, realtime &amp; collaboration</x:v>
      </x:c>
      <x:c r="E265" s="37" t="str">
        <x:v>Expansion</x:v>
      </x:c>
      <x:c r="F265" s="37" t="str">
        <x:v>Flexible / later only</x:v>
      </x:c>
      <x:c r="G265" s="37" t="str">
        <x:v>Zaffie: Feeds, messaging, groups, sharing, realtime updates, or multi-user creation.</x:v>
      </x:c>
      <x:c r="H265" s="38" t="str">
        <x:v>Voice cloning, memory, product-aware help, hidden-world guide.</x:v>
      </x:c>
    </x:row>
    <x:row r="266" ht="48" customHeight="1">
      <x:c r="A266" s="60" t="str">
        <x:v>DOS-014</x:v>
      </x:c>
      <x:c r="B266" s="37" t="str">
        <x:v>Zaffie</x:v>
      </x:c>
      <x:c r="C266" s="37" t="str">
        <x:v>FAM-20</x:v>
      </x:c>
      <x:c r="D266" s="37" t="str">
        <x:v>Notifications, reminders &amp; deadlines</x:v>
      </x:c>
      <x:c r="E266" s="37" t="str">
        <x:v>Expansion</x:v>
      </x:c>
      <x:c r="F266" s="37" t="str">
        <x:v>Flexible / later only</x:v>
      </x:c>
      <x:c r="G266" s="37" t="str">
        <x:v>Zaffie: Push/email/in-app reminders, scheduled tasks, and time-bound flows.</x:v>
      </x:c>
      <x:c r="H266" s="38" t="str">
        <x:v>Voice cloning, memory, product-aware help, hidden-world guide.</x:v>
      </x:c>
    </x:row>
    <x:row r="267" ht="48" customHeight="1">
      <x:c r="A267" s="60" t="str">
        <x:v>DOS-014</x:v>
      </x:c>
      <x:c r="B267" s="37" t="str">
        <x:v>Zaffie</x:v>
      </x:c>
      <x:c r="C267" s="37" t="str">
        <x:v>FAM-32</x:v>
      </x:c>
      <x:c r="D267" s="37" t="str">
        <x:v>Marketplace, templates &amp; creator assets</x:v>
      </x:c>
      <x:c r="E267" s="37" t="str">
        <x:v>Expansion</x:v>
      </x:c>
      <x:c r="F267" s="37" t="str">
        <x:v>Flexible / later only</x:v>
      </x:c>
      <x:c r="G267" s="37" t="str">
        <x:v>Zaffie: Listings, reusable assets, creator publishing, reviews, and marketplace rules.</x:v>
      </x:c>
      <x:c r="H267" s="38" t="str">
        <x:v>Voice cloning, memory, product-aware help, hidden-world guide.</x:v>
      </x:c>
    </x:row>
    <x:row r="268" ht="48" customHeight="1">
      <x:c r="A268" s="60" t="str">
        <x:v>DOS-014</x:v>
      </x:c>
      <x:c r="B268" s="37" t="str">
        <x:v>Zaffie</x:v>
      </x:c>
      <x:c r="C268" s="37" t="str">
        <x:v>FAM-36</x:v>
      </x:c>
      <x:c r="D268" s="37" t="str">
        <x:v>Scoring, ranking &amp; matching logic</x:v>
      </x:c>
      <x:c r="E268" s="37" t="str">
        <x:v>Expansion</x:v>
      </x:c>
      <x:c r="F268" s="37" t="str">
        <x:v>Flexible / later only</x:v>
      </x:c>
      <x:c r="G268" s="37" t="str">
        <x:v>Zaffie: Transparent scorecards, requirements matching, routes, and tie-break explanations.</x:v>
      </x:c>
      <x:c r="H268" s="38" t="str">
        <x:v>Voice cloning, memory, product-aware help, hidden-world guide.</x:v>
      </x:c>
    </x:row>
    <x:row r="269" ht="48" customHeight="1">
      <x:c r="A269" s="60" t="str">
        <x:v>DOS-015</x:v>
      </x:c>
      <x:c r="B269" s="37" t="str">
        <x:v>ZAF Identity StudioZ / Unicode Universe</x:v>
      </x:c>
      <x:c r="C269" s="37" t="str">
        <x:v>FAM-01</x:v>
      </x:c>
      <x:c r="D269" s="37" t="str">
        <x:v>Responsive web / PWA interface</x:v>
      </x:c>
      <x:c r="E269" s="37" t="str">
        <x:v>Must</x:v>
      </x:c>
      <x:c r="F269" s="37" t="str">
        <x:v>Strict-route gate</x:v>
      </x:c>
      <x:c r="G269" s="37" t="str">
        <x:v>ZAF Identity StudioZ / Unicode Universe: Mobile-first responsive screens and app-like web navigation.</x:v>
      </x:c>
      <x:c r="H269" s="38" t="str">
        <x:v>Input, deterministic style maps, creative variations, copy/plain-text fallback, saved favorites, accessibility/searchability checks.</x:v>
      </x:c>
    </x:row>
    <x:row r="270" ht="48" customHeight="1">
      <x:c r="A270" s="60" t="str">
        <x:v>DOS-015</x:v>
      </x:c>
      <x:c r="B270" s="37" t="str">
        <x:v>ZAF Identity StudioZ / Unicode Universe</x:v>
      </x:c>
      <x:c r="C270" s="37" t="str">
        <x:v>FAM-05</x:v>
      </x:c>
      <x:c r="D270" s="37" t="str">
        <x:v>Structured database &amp; persistent records</x:v>
      </x:c>
      <x:c r="E270" s="37" t="str">
        <x:v>Must</x:v>
      </x:c>
      <x:c r="F270" s="37" t="str">
        <x:v>Strict-route gate</x:v>
      </x:c>
      <x:c r="G270" s="37" t="str">
        <x:v>ZAF Identity StudioZ / Unicode Universe: Reliable structured data storage, retrieval, and updates.</x:v>
      </x:c>
      <x:c r="H270" s="38" t="str">
        <x:v>Input, deterministic style maps, creative variations, copy/plain-text fallback, saved favorites, accessibility/searchability checks.</x:v>
      </x:c>
    </x:row>
    <x:row r="271" ht="48" customHeight="1">
      <x:c r="A271" s="60" t="str">
        <x:v>DOS-015</x:v>
      </x:c>
      <x:c r="B271" s="37" t="str">
        <x:v>ZAF Identity StudioZ / Unicode Universe</x:v>
      </x:c>
      <x:c r="C271" s="37" t="str">
        <x:v>FAM-12</x:v>
      </x:c>
      <x:c r="D271" s="37" t="str">
        <x:v>AI text generation, analysis &amp; agents</x:v>
      </x:c>
      <x:c r="E271" s="37" t="str">
        <x:v>Must</x:v>
      </x:c>
      <x:c r="F271" s="37" t="str">
        <x:v>Strict-route gate</x:v>
      </x:c>
      <x:c r="G271" s="37" t="str">
        <x:v>ZAF Identity StudioZ / Unicode Universe: Prompted generation, classification, summarization, reasoning, or assistant behavior.</x:v>
      </x:c>
      <x:c r="H271" s="38" t="str">
        <x:v>Input, deterministic style maps, creative variations, copy/plain-text fallback, saved favorites, accessibility/searchability checks.</x:v>
      </x:c>
    </x:row>
    <x:row r="272" ht="48" customHeight="1">
      <x:c r="A272" s="60" t="str">
        <x:v>DOS-015</x:v>
      </x:c>
      <x:c r="B272" s="37" t="str">
        <x:v>ZAF Identity StudioZ / Unicode Universe</x:v>
      </x:c>
      <x:c r="C272" s="37" t="str">
        <x:v>FAM-23</x:v>
      </x:c>
      <x:c r="D272" s="37" t="str">
        <x:v>Public website, SEO &amp; domain control</x:v>
      </x:c>
      <x:c r="E272" s="37" t="str">
        <x:v>Must</x:v>
      </x:c>
      <x:c r="F272" s="37" t="str">
        <x:v>Strict-route gate</x:v>
      </x:c>
      <x:c r="G272" s="37" t="str">
        <x:v>ZAF Identity StudioZ / Unicode Universe: Public pages, discoverability, custom domain, shareability, and search metadata.</x:v>
      </x:c>
      <x:c r="H272" s="38" t="str">
        <x:v>Input, deterministic style maps, creative variations, copy/plain-text fallback, saved favorites, accessibility/searchability checks.</x:v>
      </x:c>
    </x:row>
    <x:row r="273" ht="48" customHeight="1">
      <x:c r="A273" s="60" t="str">
        <x:v>DOS-015</x:v>
      </x:c>
      <x:c r="B273" s="37" t="str">
        <x:v>ZAF Identity StudioZ / Unicode Universe</x:v>
      </x:c>
      <x:c r="C273" s="37" t="str">
        <x:v>FAM-24</x:v>
      </x:c>
      <x:c r="D273" s="37" t="str">
        <x:v>Export, publishing &amp; share routes</x:v>
      </x:c>
      <x:c r="E273" s="37" t="str">
        <x:v>Must</x:v>
      </x:c>
      <x:c r="F273" s="37" t="str">
        <x:v>Strict-route gate</x:v>
      </x:c>
      <x:c r="G273" s="37" t="str">
        <x:v>ZAF Identity StudioZ / Unicode Universe: Download/export, social publishing, share links, and portable output packages.</x:v>
      </x:c>
      <x:c r="H273" s="38" t="str">
        <x:v>Input, deterministic style maps, creative variations, copy/plain-text fallback, saved favorites, accessibility/searchability checks.</x:v>
      </x:c>
    </x:row>
    <x:row r="274" ht="48" customHeight="1">
      <x:c r="A274" s="60" t="str">
        <x:v>DOS-015</x:v>
      </x:c>
      <x:c r="B274" s="37" t="str">
        <x:v>ZAF Identity StudioZ / Unicode Universe</x:v>
      </x:c>
      <x:c r="C274" s="37" t="str">
        <x:v>FAM-27</x:v>
      </x:c>
      <x:c r="D274" s="37" t="str">
        <x:v>Portability, ownership &amp; escape path</x:v>
      </x:c>
      <x:c r="E274" s="37" t="str">
        <x:v>Must</x:v>
      </x:c>
      <x:c r="F274" s="37" t="str">
        <x:v>Strict-route gate</x:v>
      </x:c>
      <x:c r="G274" s="37" t="str">
        <x:v>ZAF Identity StudioZ / Unicode Universe: Code/data export, GitHub, custom domains, migration, and lock-in control.</x:v>
      </x:c>
      <x:c r="H274" s="38" t="str">
        <x:v>Input, deterministic style maps, creative variations, copy/plain-text fallback, saved favorites, accessibility/searchability checks.</x:v>
      </x:c>
    </x:row>
    <x:row r="275" ht="48" customHeight="1">
      <x:c r="A275" s="60" t="str">
        <x:v>DOS-015</x:v>
      </x:c>
      <x:c r="B275" s="37" t="str">
        <x:v>ZAF Identity StudioZ / Unicode Universe</x:v>
      </x:c>
      <x:c r="C275" s="37" t="str">
        <x:v>FAM-28</x:v>
      </x:c>
      <x:c r="D275" s="37" t="str">
        <x:v>Custom code &amp; extensibility</x:v>
      </x:c>
      <x:c r="E275" s="37" t="str">
        <x:v>Must</x:v>
      </x:c>
      <x:c r="F275" s="37" t="str">
        <x:v>Strict-route gate</x:v>
      </x:c>
      <x:c r="G275" s="37" t="str">
        <x:v>ZAF Identity StudioZ / Unicode Universe: Ability to add bespoke logic, components, SDKs, or developer assistance.</x:v>
      </x:c>
      <x:c r="H275" s="38" t="str">
        <x:v>Input, deterministic style maps, creative variations, copy/plain-text fallback, saved favorites, accessibility/searchability checks.</x:v>
      </x:c>
    </x:row>
    <x:row r="276" ht="48" customHeight="1">
      <x:c r="A276" s="60" t="str">
        <x:v>DOS-015</x:v>
      </x:c>
      <x:c r="B276" s="37" t="str">
        <x:v>ZAF Identity StudioZ / Unicode Universe</x:v>
      </x:c>
      <x:c r="C276" s="37" t="str">
        <x:v>FAM-02</x:v>
      </x:c>
      <x:c r="D276" s="37" t="str">
        <x:v>Android/mobile builder workability</x:v>
      </x:c>
      <x:c r="E276" s="37" t="str">
        <x:v>Important</x:v>
      </x:c>
      <x:c r="F276" s="37" t="str">
        <x:v>Score after gates</x:v>
      </x:c>
      <x:c r="G276" s="37" t="str">
        <x:v>ZAF Identity StudioZ / Unicode Universe: Derek can build, edit, preview, test, and deploy with reasonable Android/mobile friction.</x:v>
      </x:c>
      <x:c r="H276" s="38" t="str">
        <x:v>Use deterministic maps plus lightweight AI; defer marketplace/social layer.</x:v>
      </x:c>
    </x:row>
    <x:row r="277" ht="48" customHeight="1">
      <x:c r="A277" s="60" t="str">
        <x:v>DOS-015</x:v>
      </x:c>
      <x:c r="B277" s="37" t="str">
        <x:v>ZAF Identity StudioZ / Unicode Universe</x:v>
      </x:c>
      <x:c r="C277" s="37" t="str">
        <x:v>FAM-03</x:v>
      </x:c>
      <x:c r="D277" s="37" t="str">
        <x:v>Authentication, identity &amp; roles</x:v>
      </x:c>
      <x:c r="E277" s="37" t="str">
        <x:v>Important</x:v>
      </x:c>
      <x:c r="F277" s="37" t="str">
        <x:v>Score after gates</x:v>
      </x:c>
      <x:c r="G277" s="37" t="str">
        <x:v>ZAF Identity StudioZ / Unicode Universe: Sign-in, role-aware access, member identity, and permissions.</x:v>
      </x:c>
      <x:c r="H277" s="38" t="str">
        <x:v>Use deterministic maps plus lightweight AI; defer marketplace/social layer.</x:v>
      </x:c>
    </x:row>
    <x:row r="278" ht="48" customHeight="1">
      <x:c r="A278" s="60" t="str">
        <x:v>DOS-015</x:v>
      </x:c>
      <x:c r="B278" s="37" t="str">
        <x:v>ZAF Identity StudioZ / Unicode Universe</x:v>
      </x:c>
      <x:c r="C278" s="37" t="str">
        <x:v>FAM-13</x:v>
      </x:c>
      <x:c r="D278" s="37" t="str">
        <x:v>OCR &amp; structured extraction</x:v>
      </x:c>
      <x:c r="E278" s="37" t="str">
        <x:v>Important</x:v>
      </x:c>
      <x:c r="F278" s="37" t="str">
        <x:v>Score after gates</x:v>
      </x:c>
      <x:c r="G278" s="37" t="str">
        <x:v>ZAF Identity StudioZ / Unicode Universe: Extract fields from screenshots, documents, receipts, or messy content.</x:v>
      </x:c>
      <x:c r="H278" s="38" t="str">
        <x:v>Use deterministic maps plus lightweight AI; defer marketplace/social layer.</x:v>
      </x:c>
    </x:row>
    <x:row r="279" ht="48" customHeight="1">
      <x:c r="A279" s="60" t="str">
        <x:v>DOS-015</x:v>
      </x:c>
      <x:c r="B279" s="37" t="str">
        <x:v>ZAF Identity StudioZ / Unicode Universe</x:v>
      </x:c>
      <x:c r="C279" s="37" t="str">
        <x:v>FAM-14</x:v>
      </x:c>
      <x:c r="D279" s="37" t="str">
        <x:v>Personalization, memory &amp; preferences</x:v>
      </x:c>
      <x:c r="E279" s="37" t="str">
        <x:v>Important</x:v>
      </x:c>
      <x:c r="F279" s="37" t="str">
        <x:v>Score after gates</x:v>
      </x:c>
      <x:c r="G279" s="37" t="str">
        <x:v>ZAF Identity StudioZ / Unicode Universe: Saved preferences, history, source memory, and adaptive outputs.</x:v>
      </x:c>
      <x:c r="H279" s="38" t="str">
        <x:v>Use deterministic maps plus lightweight AI; defer marketplace/social layer.</x:v>
      </x:c>
    </x:row>
    <x:row r="280" ht="48" customHeight="1">
      <x:c r="A280" s="60" t="str">
        <x:v>DOS-015</x:v>
      </x:c>
      <x:c r="B280" s="37" t="str">
        <x:v>ZAF Identity StudioZ / Unicode Universe</x:v>
      </x:c>
      <x:c r="C280" s="37" t="str">
        <x:v>FAM-17</x:v>
      </x:c>
      <x:c r="D280" s="37" t="str">
        <x:v>Payments, subscriptions &amp; billing</x:v>
      </x:c>
      <x:c r="E280" s="37" t="str">
        <x:v>Important</x:v>
      </x:c>
      <x:c r="F280" s="37" t="str">
        <x:v>Score after gates</x:v>
      </x:c>
      <x:c r="G280" s="37" t="str">
        <x:v>ZAF Identity StudioZ / Unicode Universe: Payments, subscriptions, checkout, entitlements, and billing-aware workflows.</x:v>
      </x:c>
      <x:c r="H280" s="38" t="str">
        <x:v>Use deterministic maps plus lightweight AI; defer marketplace/social layer.</x:v>
      </x:c>
    </x:row>
    <x:row r="281" ht="48" customHeight="1">
      <x:c r="A281" s="60" t="str">
        <x:v>DOS-015</x:v>
      </x:c>
      <x:c r="B281" s="37" t="str">
        <x:v>ZAF Identity StudioZ / Unicode Universe</x:v>
      </x:c>
      <x:c r="C281" s="37" t="str">
        <x:v>FAM-25</x:v>
      </x:c>
      <x:c r="D281" s="37" t="str">
        <x:v>Analytics, reporting &amp; decision dashboards</x:v>
      </x:c>
      <x:c r="E281" s="37" t="str">
        <x:v>Important</x:v>
      </x:c>
      <x:c r="F281" s="37" t="str">
        <x:v>Score after gates</x:v>
      </x:c>
      <x:c r="G281" s="37" t="str">
        <x:v>ZAF Identity StudioZ / Unicode Universe: Usage metrics, charts, rankings, reporting, and decision support.</x:v>
      </x:c>
      <x:c r="H281" s="38" t="str">
        <x:v>Use deterministic maps plus lightweight AI; defer marketplace/social layer.</x:v>
      </x:c>
    </x:row>
    <x:row r="282" ht="48" customHeight="1">
      <x:c r="A282" s="60" t="str">
        <x:v>DOS-015</x:v>
      </x:c>
      <x:c r="B282" s="37" t="str">
        <x:v>ZAF Identity StudioZ / Unicode Universe</x:v>
      </x:c>
      <x:c r="C282" s="37" t="str">
        <x:v>FAM-29</x:v>
      </x:c>
      <x:c r="D282" s="37" t="str">
        <x:v>Backend functions, APIs &amp; background compute</x:v>
      </x:c>
      <x:c r="E282" s="37" t="str">
        <x:v>Important</x:v>
      </x:c>
      <x:c r="F282" s="37" t="str">
        <x:v>Score after gates</x:v>
      </x:c>
      <x:c r="G282" s="37" t="str">
        <x:v>ZAF Identity StudioZ / Unicode Universe: Server functions, secure APIs, logs, queues, scheduled tasks, and secrets.</x:v>
      </x:c>
      <x:c r="H282" s="38" t="str">
        <x:v>Use deterministic maps plus lightweight AI; defer marketplace/social layer.</x:v>
      </x:c>
    </x:row>
    <x:row r="283" ht="48" customHeight="1">
      <x:c r="A283" s="60" t="str">
        <x:v>DOS-015</x:v>
      </x:c>
      <x:c r="B283" s="37" t="str">
        <x:v>ZAF Identity StudioZ / Unicode Universe</x:v>
      </x:c>
      <x:c r="C283" s="37" t="str">
        <x:v>FAM-35</x:v>
      </x:c>
      <x:c r="D283" s="37" t="str">
        <x:v>Privacy, consent &amp; audit trail</x:v>
      </x:c>
      <x:c r="E283" s="37" t="str">
        <x:v>Important</x:v>
      </x:c>
      <x:c r="F283" s="37" t="str">
        <x:v>Score after gates</x:v>
      </x:c>
      <x:c r="G283" s="37" t="str">
        <x:v>ZAF Identity StudioZ / Unicode Universe: Consent, retention, access controls, provenance, and auditable actions.</x:v>
      </x:c>
      <x:c r="H283" s="38" t="str">
        <x:v>Use deterministic maps plus lightweight AI; defer marketplace/social layer.</x:v>
      </x:c>
    </x:row>
    <x:row r="284" ht="48" customHeight="1">
      <x:c r="A284" s="60" t="str">
        <x:v>DOS-015</x:v>
      </x:c>
      <x:c r="B284" s="37" t="str">
        <x:v>ZAF Identity StudioZ / Unicode Universe</x:v>
      </x:c>
      <x:c r="C284" s="37" t="str">
        <x:v>FAM-15</x:v>
      </x:c>
      <x:c r="D284" s="37" t="str">
        <x:v>Social, realtime &amp; collaboration</x:v>
      </x:c>
      <x:c r="E284" s="37" t="str">
        <x:v>Expansion</x:v>
      </x:c>
      <x:c r="F284" s="37" t="str">
        <x:v>Flexible / later only</x:v>
      </x:c>
      <x:c r="G284" s="37" t="str">
        <x:v>ZAF Identity StudioZ / Unicode Universe: Feeds, messaging, groups, sharing, realtime updates, or multi-user creation.</x:v>
      </x:c>
      <x:c r="H284" s="38" t="str">
        <x:v>TaxOGen, identity kits, ZAF profile integration, marketplace.</x:v>
      </x:c>
    </x:row>
    <x:row r="285" ht="48" customHeight="1">
      <x:c r="A285" s="60" t="str">
        <x:v>DOS-015</x:v>
      </x:c>
      <x:c r="B285" s="37" t="str">
        <x:v>ZAF Identity StudioZ / Unicode Universe</x:v>
      </x:c>
      <x:c r="C285" s="37" t="str">
        <x:v>FAM-20</x:v>
      </x:c>
      <x:c r="D285" s="37" t="str">
        <x:v>Notifications, reminders &amp; deadlines</x:v>
      </x:c>
      <x:c r="E285" s="37" t="str">
        <x:v>Expansion</x:v>
      </x:c>
      <x:c r="F285" s="37" t="str">
        <x:v>Flexible / later only</x:v>
      </x:c>
      <x:c r="G285" s="37" t="str">
        <x:v>ZAF Identity StudioZ / Unicode Universe: Push/email/in-app reminders, scheduled tasks, and time-bound flows.</x:v>
      </x:c>
      <x:c r="H285" s="38" t="str">
        <x:v>TaxOGen, identity kits, ZAF profile integration, marketplace.</x:v>
      </x:c>
    </x:row>
    <x:row r="286" ht="48" customHeight="1">
      <x:c r="A286" s="60" t="str">
        <x:v>DOS-015</x:v>
      </x:c>
      <x:c r="B286" s="37" t="str">
        <x:v>ZAF Identity StudioZ / Unicode Universe</x:v>
      </x:c>
      <x:c r="C286" s="37" t="str">
        <x:v>FAM-32</x:v>
      </x:c>
      <x:c r="D286" s="37" t="str">
        <x:v>Marketplace, templates &amp; creator assets</x:v>
      </x:c>
      <x:c r="E286" s="37" t="str">
        <x:v>Expansion</x:v>
      </x:c>
      <x:c r="F286" s="37" t="str">
        <x:v>Flexible / later only</x:v>
      </x:c>
      <x:c r="G286" s="37" t="str">
        <x:v>ZAF Identity StudioZ / Unicode Universe: Listings, reusable assets, creator publishing, reviews, and marketplace rules.</x:v>
      </x:c>
      <x:c r="H286" s="38" t="str">
        <x:v>TaxOGen, identity kits, ZAF profile integration, marketplace.</x:v>
      </x:c>
    </x:row>
    <x:row r="287" ht="48" customHeight="1">
      <x:c r="A287" s="60" t="str">
        <x:v>DOS-015</x:v>
      </x:c>
      <x:c r="B287" s="37" t="str">
        <x:v>ZAF Identity StudioZ / Unicode Universe</x:v>
      </x:c>
      <x:c r="C287" s="37" t="str">
        <x:v>FAM-36</x:v>
      </x:c>
      <x:c r="D287" s="37" t="str">
        <x:v>Scoring, ranking &amp; matching logic</x:v>
      </x:c>
      <x:c r="E287" s="37" t="str">
        <x:v>Expansion</x:v>
      </x:c>
      <x:c r="F287" s="37" t="str">
        <x:v>Flexible / later only</x:v>
      </x:c>
      <x:c r="G287" s="37" t="str">
        <x:v>ZAF Identity StudioZ / Unicode Universe: Transparent scorecards, requirements matching, routes, and tie-break explanations.</x:v>
      </x:c>
      <x:c r="H287" s="38" t="str">
        <x:v>TaxOGen, identity kits, ZAF profile integration, marketplace.</x:v>
      </x:c>
    </x:row>
    <x:row r="288" ht="48" customHeight="1">
      <x:c r="A288" s="60" t="str">
        <x:v>DOS-016</x:v>
      </x:c>
      <x:c r="B288" s="37" t="str">
        <x:v>TaxOGen</x:v>
      </x:c>
      <x:c r="C288" s="37" t="str">
        <x:v>FAM-01</x:v>
      </x:c>
      <x:c r="D288" s="37" t="str">
        <x:v>Responsive web / PWA interface</x:v>
      </x:c>
      <x:c r="E288" s="37" t="str">
        <x:v>Must</x:v>
      </x:c>
      <x:c r="F288" s="37" t="str">
        <x:v>Strict-route gate</x:v>
      </x:c>
      <x:c r="G288" s="37" t="str">
        <x:v>TaxOGen: Mobile-first responsive screens and app-like web navigation.</x:v>
      </x:c>
      <x:c r="H288" s="38" t="str">
        <x:v>Define input taxonomy, strictness weights, generation outputs, batch preview, save/export.</x:v>
      </x:c>
    </x:row>
    <x:row r="289" ht="48" customHeight="1">
      <x:c r="A289" s="60" t="str">
        <x:v>DOS-016</x:v>
      </x:c>
      <x:c r="B289" s="37" t="str">
        <x:v>TaxOGen</x:v>
      </x:c>
      <x:c r="C289" s="37" t="str">
        <x:v>FAM-05</x:v>
      </x:c>
      <x:c r="D289" s="37" t="str">
        <x:v>Structured database &amp; persistent records</x:v>
      </x:c>
      <x:c r="E289" s="37" t="str">
        <x:v>Must</x:v>
      </x:c>
      <x:c r="F289" s="37" t="str">
        <x:v>Strict-route gate</x:v>
      </x:c>
      <x:c r="G289" s="37" t="str">
        <x:v>TaxOGen: Reliable structured data storage, retrieval, and updates.</x:v>
      </x:c>
      <x:c r="H289" s="38" t="str">
        <x:v>Define input taxonomy, strictness weights, generation outputs, batch preview, save/export.</x:v>
      </x:c>
    </x:row>
    <x:row r="290" ht="48" customHeight="1">
      <x:c r="A290" s="60" t="str">
        <x:v>DOS-016</x:v>
      </x:c>
      <x:c r="B290" s="37" t="str">
        <x:v>TaxOGen</x:v>
      </x:c>
      <x:c r="C290" s="37" t="str">
        <x:v>FAM-12</x:v>
      </x:c>
      <x:c r="D290" s="37" t="str">
        <x:v>AI text generation, analysis &amp; agents</x:v>
      </x:c>
      <x:c r="E290" s="37" t="str">
        <x:v>Must</x:v>
      </x:c>
      <x:c r="F290" s="37" t="str">
        <x:v>Strict-route gate</x:v>
      </x:c>
      <x:c r="G290" s="37" t="str">
        <x:v>TaxOGen: Prompted generation, classification, summarization, reasoning, or assistant behavior.</x:v>
      </x:c>
      <x:c r="H290" s="38" t="str">
        <x:v>Define input taxonomy, strictness weights, generation outputs, batch preview, save/export.</x:v>
      </x:c>
    </x:row>
    <x:row r="291" ht="48" customHeight="1">
      <x:c r="A291" s="60" t="str">
        <x:v>DOS-016</x:v>
      </x:c>
      <x:c r="B291" s="37" t="str">
        <x:v>TaxOGen</x:v>
      </x:c>
      <x:c r="C291" s="37" t="str">
        <x:v>FAM-23</x:v>
      </x:c>
      <x:c r="D291" s="37" t="str">
        <x:v>Public website, SEO &amp; domain control</x:v>
      </x:c>
      <x:c r="E291" s="37" t="str">
        <x:v>Must</x:v>
      </x:c>
      <x:c r="F291" s="37" t="str">
        <x:v>Strict-route gate</x:v>
      </x:c>
      <x:c r="G291" s="37" t="str">
        <x:v>TaxOGen: Public pages, discoverability, custom domain, shareability, and search metadata.</x:v>
      </x:c>
      <x:c r="H291" s="38" t="str">
        <x:v>Define input taxonomy, strictness weights, generation outputs, batch preview, save/export.</x:v>
      </x:c>
    </x:row>
    <x:row r="292" ht="48" customHeight="1">
      <x:c r="A292" s="60" t="str">
        <x:v>DOS-016</x:v>
      </x:c>
      <x:c r="B292" s="37" t="str">
        <x:v>TaxOGen</x:v>
      </x:c>
      <x:c r="C292" s="37" t="str">
        <x:v>FAM-24</x:v>
      </x:c>
      <x:c r="D292" s="37" t="str">
        <x:v>Export, publishing &amp; share routes</x:v>
      </x:c>
      <x:c r="E292" s="37" t="str">
        <x:v>Must</x:v>
      </x:c>
      <x:c r="F292" s="37" t="str">
        <x:v>Strict-route gate</x:v>
      </x:c>
      <x:c r="G292" s="37" t="str">
        <x:v>TaxOGen: Download/export, social publishing, share links, and portable output packages.</x:v>
      </x:c>
      <x:c r="H292" s="38" t="str">
        <x:v>Define input taxonomy, strictness weights, generation outputs, batch preview, save/export.</x:v>
      </x:c>
    </x:row>
    <x:row r="293" ht="48" customHeight="1">
      <x:c r="A293" s="60" t="str">
        <x:v>DOS-016</x:v>
      </x:c>
      <x:c r="B293" s="37" t="str">
        <x:v>TaxOGen</x:v>
      </x:c>
      <x:c r="C293" s="37" t="str">
        <x:v>FAM-27</x:v>
      </x:c>
      <x:c r="D293" s="37" t="str">
        <x:v>Portability, ownership &amp; escape path</x:v>
      </x:c>
      <x:c r="E293" s="37" t="str">
        <x:v>Must</x:v>
      </x:c>
      <x:c r="F293" s="37" t="str">
        <x:v>Strict-route gate</x:v>
      </x:c>
      <x:c r="G293" s="37" t="str">
        <x:v>TaxOGen: Code/data export, GitHub, custom domains, migration, and lock-in control.</x:v>
      </x:c>
      <x:c r="H293" s="38" t="str">
        <x:v>Define input taxonomy, strictness weights, generation outputs, batch preview, save/export.</x:v>
      </x:c>
    </x:row>
    <x:row r="294" ht="48" customHeight="1">
      <x:c r="A294" s="60" t="str">
        <x:v>DOS-016</x:v>
      </x:c>
      <x:c r="B294" s="37" t="str">
        <x:v>TaxOGen</x:v>
      </x:c>
      <x:c r="C294" s="37" t="str">
        <x:v>FAM-28</x:v>
      </x:c>
      <x:c r="D294" s="37" t="str">
        <x:v>Custom code &amp; extensibility</x:v>
      </x:c>
      <x:c r="E294" s="37" t="str">
        <x:v>Must</x:v>
      </x:c>
      <x:c r="F294" s="37" t="str">
        <x:v>Strict-route gate</x:v>
      </x:c>
      <x:c r="G294" s="37" t="str">
        <x:v>TaxOGen: Ability to add bespoke logic, components, SDKs, or developer assistance.</x:v>
      </x:c>
      <x:c r="H294" s="38" t="str">
        <x:v>Define input taxonomy, strictness weights, generation outputs, batch preview, save/export.</x:v>
      </x:c>
    </x:row>
    <x:row r="295" ht="48" customHeight="1">
      <x:c r="A295" s="60" t="str">
        <x:v>DOS-016</x:v>
      </x:c>
      <x:c r="B295" s="37" t="str">
        <x:v>TaxOGen</x:v>
      </x:c>
      <x:c r="C295" s="37" t="str">
        <x:v>FAM-02</x:v>
      </x:c>
      <x:c r="D295" s="37" t="str">
        <x:v>Android/mobile builder workability</x:v>
      </x:c>
      <x:c r="E295" s="37" t="str">
        <x:v>Important</x:v>
      </x:c>
      <x:c r="F295" s="37" t="str">
        <x:v>Score after gates</x:v>
      </x:c>
      <x:c r="G295" s="37" t="str">
        <x:v>TaxOGen: Derek can build, edit, preview, test, and deploy with reasonable Android/mobile friction.</x:v>
      </x:c>
      <x:c r="H295" s="38" t="str">
        <x:v>Start with one narrow generation domain and controlled output batch.</x:v>
      </x:c>
    </x:row>
    <x:row r="296" ht="48" customHeight="1">
      <x:c r="A296" s="60" t="str">
        <x:v>DOS-016</x:v>
      </x:c>
      <x:c r="B296" s="37" t="str">
        <x:v>TaxOGen</x:v>
      </x:c>
      <x:c r="C296" s="37" t="str">
        <x:v>FAM-03</x:v>
      </x:c>
      <x:c r="D296" s="37" t="str">
        <x:v>Authentication, identity &amp; roles</x:v>
      </x:c>
      <x:c r="E296" s="37" t="str">
        <x:v>Important</x:v>
      </x:c>
      <x:c r="F296" s="37" t="str">
        <x:v>Score after gates</x:v>
      </x:c>
      <x:c r="G296" s="37" t="str">
        <x:v>TaxOGen: Sign-in, role-aware access, member identity, and permissions.</x:v>
      </x:c>
      <x:c r="H296" s="38" t="str">
        <x:v>Start with one narrow generation domain and controlled output batch.</x:v>
      </x:c>
    </x:row>
    <x:row r="297" ht="48" customHeight="1">
      <x:c r="A297" s="60" t="str">
        <x:v>DOS-016</x:v>
      </x:c>
      <x:c r="B297" s="37" t="str">
        <x:v>TaxOGen</x:v>
      </x:c>
      <x:c r="C297" s="37" t="str">
        <x:v>FAM-13</x:v>
      </x:c>
      <x:c r="D297" s="37" t="str">
        <x:v>OCR &amp; structured extraction</x:v>
      </x:c>
      <x:c r="E297" s="37" t="str">
        <x:v>Important</x:v>
      </x:c>
      <x:c r="F297" s="37" t="str">
        <x:v>Score after gates</x:v>
      </x:c>
      <x:c r="G297" s="37" t="str">
        <x:v>TaxOGen: Extract fields from screenshots, documents, receipts, or messy content.</x:v>
      </x:c>
      <x:c r="H297" s="38" t="str">
        <x:v>Start with one narrow generation domain and controlled output batch.</x:v>
      </x:c>
    </x:row>
    <x:row r="298" ht="48" customHeight="1">
      <x:c r="A298" s="60" t="str">
        <x:v>DOS-016</x:v>
      </x:c>
      <x:c r="B298" s="37" t="str">
        <x:v>TaxOGen</x:v>
      </x:c>
      <x:c r="C298" s="37" t="str">
        <x:v>FAM-14</x:v>
      </x:c>
      <x:c r="D298" s="37" t="str">
        <x:v>Personalization, memory &amp; preferences</x:v>
      </x:c>
      <x:c r="E298" s="37" t="str">
        <x:v>Important</x:v>
      </x:c>
      <x:c r="F298" s="37" t="str">
        <x:v>Score after gates</x:v>
      </x:c>
      <x:c r="G298" s="37" t="str">
        <x:v>TaxOGen: Saved preferences, history, source memory, and adaptive outputs.</x:v>
      </x:c>
      <x:c r="H298" s="38" t="str">
        <x:v>Start with one narrow generation domain and controlled output batch.</x:v>
      </x:c>
    </x:row>
    <x:row r="299" ht="48" customHeight="1">
      <x:c r="A299" s="60" t="str">
        <x:v>DOS-016</x:v>
      </x:c>
      <x:c r="B299" s="37" t="str">
        <x:v>TaxOGen</x:v>
      </x:c>
      <x:c r="C299" s="37" t="str">
        <x:v>FAM-17</x:v>
      </x:c>
      <x:c r="D299" s="37" t="str">
        <x:v>Payments, subscriptions &amp; billing</x:v>
      </x:c>
      <x:c r="E299" s="37" t="str">
        <x:v>Important</x:v>
      </x:c>
      <x:c r="F299" s="37" t="str">
        <x:v>Score after gates</x:v>
      </x:c>
      <x:c r="G299" s="37" t="str">
        <x:v>TaxOGen: Payments, subscriptions, checkout, entitlements, and billing-aware workflows.</x:v>
      </x:c>
      <x:c r="H299" s="38" t="str">
        <x:v>Start with one narrow generation domain and controlled output batch.</x:v>
      </x:c>
    </x:row>
    <x:row r="300" ht="48" customHeight="1">
      <x:c r="A300" s="60" t="str">
        <x:v>DOS-016</x:v>
      </x:c>
      <x:c r="B300" s="37" t="str">
        <x:v>TaxOGen</x:v>
      </x:c>
      <x:c r="C300" s="37" t="str">
        <x:v>FAM-25</x:v>
      </x:c>
      <x:c r="D300" s="37" t="str">
        <x:v>Analytics, reporting &amp; decision dashboards</x:v>
      </x:c>
      <x:c r="E300" s="37" t="str">
        <x:v>Important</x:v>
      </x:c>
      <x:c r="F300" s="37" t="str">
        <x:v>Score after gates</x:v>
      </x:c>
      <x:c r="G300" s="37" t="str">
        <x:v>TaxOGen: Usage metrics, charts, rankings, reporting, and decision support.</x:v>
      </x:c>
      <x:c r="H300" s="38" t="str">
        <x:v>Start with one narrow generation domain and controlled output batch.</x:v>
      </x:c>
    </x:row>
    <x:row r="301" ht="48" customHeight="1">
      <x:c r="A301" s="60" t="str">
        <x:v>DOS-016</x:v>
      </x:c>
      <x:c r="B301" s="37" t="str">
        <x:v>TaxOGen</x:v>
      </x:c>
      <x:c r="C301" s="37" t="str">
        <x:v>FAM-29</x:v>
      </x:c>
      <x:c r="D301" s="37" t="str">
        <x:v>Backend functions, APIs &amp; background compute</x:v>
      </x:c>
      <x:c r="E301" s="37" t="str">
        <x:v>Important</x:v>
      </x:c>
      <x:c r="F301" s="37" t="str">
        <x:v>Score after gates</x:v>
      </x:c>
      <x:c r="G301" s="37" t="str">
        <x:v>TaxOGen: Server functions, secure APIs, logs, queues, scheduled tasks, and secrets.</x:v>
      </x:c>
      <x:c r="H301" s="38" t="str">
        <x:v>Start with one narrow generation domain and controlled output batch.</x:v>
      </x:c>
    </x:row>
    <x:row r="302" ht="48" customHeight="1">
      <x:c r="A302" s="60" t="str">
        <x:v>DOS-016</x:v>
      </x:c>
      <x:c r="B302" s="37" t="str">
        <x:v>TaxOGen</x:v>
      </x:c>
      <x:c r="C302" s="37" t="str">
        <x:v>FAM-35</x:v>
      </x:c>
      <x:c r="D302" s="37" t="str">
        <x:v>Privacy, consent &amp; audit trail</x:v>
      </x:c>
      <x:c r="E302" s="37" t="str">
        <x:v>Important</x:v>
      </x:c>
      <x:c r="F302" s="37" t="str">
        <x:v>Score after gates</x:v>
      </x:c>
      <x:c r="G302" s="37" t="str">
        <x:v>TaxOGen: Consent, retention, access controls, provenance, and auditable actions.</x:v>
      </x:c>
      <x:c r="H302" s="38" t="str">
        <x:v>Start with one narrow generation domain and controlled output batch.</x:v>
      </x:c>
    </x:row>
    <x:row r="303" ht="48" customHeight="1">
      <x:c r="A303" s="60" t="str">
        <x:v>DOS-016</x:v>
      </x:c>
      <x:c r="B303" s="37" t="str">
        <x:v>TaxOGen</x:v>
      </x:c>
      <x:c r="C303" s="37" t="str">
        <x:v>FAM-15</x:v>
      </x:c>
      <x:c r="D303" s="37" t="str">
        <x:v>Social, realtime &amp; collaboration</x:v>
      </x:c>
      <x:c r="E303" s="37" t="str">
        <x:v>Expansion</x:v>
      </x:c>
      <x:c r="F303" s="37" t="str">
        <x:v>Flexible / later only</x:v>
      </x:c>
      <x:c r="G303" s="37" t="str">
        <x:v>TaxOGen: Feeds, messaging, groups, sharing, realtime updates, or multi-user creation.</x:v>
      </x:c>
      <x:c r="H303" s="38" t="str">
        <x:v>Shared taste profile, visual/story systems, creator marketplace.</x:v>
      </x:c>
    </x:row>
    <x:row r="304" ht="48" customHeight="1">
      <x:c r="A304" s="60" t="str">
        <x:v>DOS-016</x:v>
      </x:c>
      <x:c r="B304" s="37" t="str">
        <x:v>TaxOGen</x:v>
      </x:c>
      <x:c r="C304" s="37" t="str">
        <x:v>FAM-20</x:v>
      </x:c>
      <x:c r="D304" s="37" t="str">
        <x:v>Notifications, reminders &amp; deadlines</x:v>
      </x:c>
      <x:c r="E304" s="37" t="str">
        <x:v>Expansion</x:v>
      </x:c>
      <x:c r="F304" s="37" t="str">
        <x:v>Flexible / later only</x:v>
      </x:c>
      <x:c r="G304" s="37" t="str">
        <x:v>TaxOGen: Push/email/in-app reminders, scheduled tasks, and time-bound flows.</x:v>
      </x:c>
      <x:c r="H304" s="38" t="str">
        <x:v>Shared taste profile, visual/story systems, creator marketplace.</x:v>
      </x:c>
    </x:row>
    <x:row r="305" ht="48" customHeight="1">
      <x:c r="A305" s="60" t="str">
        <x:v>DOS-016</x:v>
      </x:c>
      <x:c r="B305" s="37" t="str">
        <x:v>TaxOGen</x:v>
      </x:c>
      <x:c r="C305" s="37" t="str">
        <x:v>FAM-32</x:v>
      </x:c>
      <x:c r="D305" s="37" t="str">
        <x:v>Marketplace, templates &amp; creator assets</x:v>
      </x:c>
      <x:c r="E305" s="37" t="str">
        <x:v>Expansion</x:v>
      </x:c>
      <x:c r="F305" s="37" t="str">
        <x:v>Flexible / later only</x:v>
      </x:c>
      <x:c r="G305" s="37" t="str">
        <x:v>TaxOGen: Listings, reusable assets, creator publishing, reviews, and marketplace rules.</x:v>
      </x:c>
      <x:c r="H305" s="38" t="str">
        <x:v>Shared taste profile, visual/story systems, creator marketplace.</x:v>
      </x:c>
    </x:row>
    <x:row r="306" ht="48" customHeight="1">
      <x:c r="A306" s="60" t="str">
        <x:v>DOS-016</x:v>
      </x:c>
      <x:c r="B306" s="37" t="str">
        <x:v>TaxOGen</x:v>
      </x:c>
      <x:c r="C306" s="37" t="str">
        <x:v>FAM-36</x:v>
      </x:c>
      <x:c r="D306" s="37" t="str">
        <x:v>Scoring, ranking &amp; matching logic</x:v>
      </x:c>
      <x:c r="E306" s="37" t="str">
        <x:v>Expansion</x:v>
      </x:c>
      <x:c r="F306" s="37" t="str">
        <x:v>Flexible / later only</x:v>
      </x:c>
      <x:c r="G306" s="37" t="str">
        <x:v>TaxOGen: Transparent scorecards, requirements matching, routes, and tie-break explanations.</x:v>
      </x:c>
      <x:c r="H306" s="38" t="str">
        <x:v>Shared taste profile, visual/story systems, creator marketplace.</x:v>
      </x:c>
    </x:row>
    <x:row r="307" ht="48" customHeight="1">
      <x:c r="A307" s="60" t="str">
        <x:v>DOS-017</x:v>
      </x:c>
      <x:c r="B307" s="37" t="str">
        <x:v>Noteworthy / Who GiveZAFuck</x:v>
      </x:c>
      <x:c r="C307" s="37" t="str">
        <x:v>FAM-01</x:v>
      </x:c>
      <x:c r="D307" s="37" t="str">
        <x:v>Responsive web / PWA interface</x:v>
      </x:c>
      <x:c r="E307" s="37" t="str">
        <x:v>Must</x:v>
      </x:c>
      <x:c r="F307" s="37" t="str">
        <x:v>Strict-route gate</x:v>
      </x:c>
      <x:c r="G307" s="37" t="str">
        <x:v>Noteworthy / Who GiveZAFuck: Mobile-first responsive screens and app-like web navigation.</x:v>
      </x:c>
      <x:c r="H307" s="38" t="str">
        <x:v>Central text box, autosave, recent/favorites, categories, basic search, copy/send/share flow.</x:v>
      </x:c>
    </x:row>
    <x:row r="308" ht="48" customHeight="1">
      <x:c r="A308" s="60" t="str">
        <x:v>DOS-017</x:v>
      </x:c>
      <x:c r="B308" s="37" t="str">
        <x:v>Noteworthy / Who GiveZAFuck</x:v>
      </x:c>
      <x:c r="C308" s="37" t="str">
        <x:v>FAM-05</x:v>
      </x:c>
      <x:c r="D308" s="37" t="str">
        <x:v>Structured database &amp; persistent records</x:v>
      </x:c>
      <x:c r="E308" s="37" t="str">
        <x:v>Must</x:v>
      </x:c>
      <x:c r="F308" s="37" t="str">
        <x:v>Strict-route gate</x:v>
      </x:c>
      <x:c r="G308" s="37" t="str">
        <x:v>Noteworthy / Who GiveZAFuck: Reliable structured data storage, retrieval, and updates.</x:v>
      </x:c>
      <x:c r="H308" s="38" t="str">
        <x:v>Central text box, autosave, recent/favorites, categories, basic search, copy/send/share flow.</x:v>
      </x:c>
    </x:row>
    <x:row r="309" ht="48" customHeight="1">
      <x:c r="A309" s="60" t="str">
        <x:v>DOS-017</x:v>
      </x:c>
      <x:c r="B309" s="37" t="str">
        <x:v>Noteworthy / Who GiveZAFuck</x:v>
      </x:c>
      <x:c r="C309" s="37" t="str">
        <x:v>FAM-06</x:v>
      </x:c>
      <x:c r="D309" s="37" t="str">
        <x:v>Search, filters, lists &amp; directories</x:v>
      </x:c>
      <x:c r="E309" s="37" t="str">
        <x:v>Must</x:v>
      </x:c>
      <x:c r="F309" s="37" t="str">
        <x:v>Strict-route gate</x:v>
      </x:c>
      <x:c r="G309" s="37" t="str">
        <x:v>Noteworthy / Who GiveZAFuck: Searchable libraries, member lists, catalog browsing, and filtered views.</x:v>
      </x:c>
      <x:c r="H309" s="38" t="str">
        <x:v>Central text box, autosave, recent/favorites, categories, basic search, copy/send/share flow.</x:v>
      </x:c>
    </x:row>
    <x:row r="310" ht="48" customHeight="1">
      <x:c r="A310" s="60" t="str">
        <x:v>DOS-017</x:v>
      </x:c>
      <x:c r="B310" s="37" t="str">
        <x:v>Noteworthy / Who GiveZAFuck</x:v>
      </x:c>
      <x:c r="C310" s="37" t="str">
        <x:v>FAM-25</x:v>
      </x:c>
      <x:c r="D310" s="37" t="str">
        <x:v>Analytics, reporting &amp; decision dashboards</x:v>
      </x:c>
      <x:c r="E310" s="37" t="str">
        <x:v>Must</x:v>
      </x:c>
      <x:c r="F310" s="37" t="str">
        <x:v>Strict-route gate</x:v>
      </x:c>
      <x:c r="G310" s="37" t="str">
        <x:v>Noteworthy / Who GiveZAFuck: Usage metrics, charts, rankings, reporting, and decision support.</x:v>
      </x:c>
      <x:c r="H310" s="38" t="str">
        <x:v>Central text box, autosave, recent/favorites, categories, basic search, copy/send/share flow.</x:v>
      </x:c>
    </x:row>
    <x:row r="311" ht="48" customHeight="1">
      <x:c r="A311" s="60" t="str">
        <x:v>DOS-017</x:v>
      </x:c>
      <x:c r="B311" s="37" t="str">
        <x:v>Noteworthy / Who GiveZAFuck</x:v>
      </x:c>
      <x:c r="C311" s="37" t="str">
        <x:v>FAM-26</x:v>
      </x:c>
      <x:c r="D311" s="37" t="str">
        <x:v>Admin, CMS &amp; operational management</x:v>
      </x:c>
      <x:c r="E311" s="37" t="str">
        <x:v>Must</x:v>
      </x:c>
      <x:c r="F311" s="37" t="str">
        <x:v>Strict-route gate</x:v>
      </x:c>
      <x:c r="G311" s="37" t="str">
        <x:v>Noteworthy / Who GiveZAFuck: Admin views, content management, operational review, and human overrides.</x:v>
      </x:c>
      <x:c r="H311" s="38" t="str">
        <x:v>Central text box, autosave, recent/favorites, categories, basic search, copy/send/share flow.</x:v>
      </x:c>
    </x:row>
    <x:row r="312" ht="48" customHeight="1">
      <x:c r="A312" s="60" t="str">
        <x:v>DOS-017</x:v>
      </x:c>
      <x:c r="B312" s="37" t="str">
        <x:v>Noteworthy / Who GiveZAFuck</x:v>
      </x:c>
      <x:c r="C312" s="37" t="str">
        <x:v>FAM-27</x:v>
      </x:c>
      <x:c r="D312" s="37" t="str">
        <x:v>Portability, ownership &amp; escape path</x:v>
      </x:c>
      <x:c r="E312" s="37" t="str">
        <x:v>Must</x:v>
      </x:c>
      <x:c r="F312" s="37" t="str">
        <x:v>Strict-route gate</x:v>
      </x:c>
      <x:c r="G312" s="37" t="str">
        <x:v>Noteworthy / Who GiveZAFuck: Code/data export, GitHub, custom domains, migration, and lock-in control.</x:v>
      </x:c>
      <x:c r="H312" s="38" t="str">
        <x:v>Central text box, autosave, recent/favorites, categories, basic search, copy/send/share flow.</x:v>
      </x:c>
    </x:row>
    <x:row r="313" ht="48" customHeight="1">
      <x:c r="A313" s="60" t="str">
        <x:v>DOS-017</x:v>
      </x:c>
      <x:c r="B313" s="37" t="str">
        <x:v>Noteworthy / Who GiveZAFuck</x:v>
      </x:c>
      <x:c r="C313" s="37" t="str">
        <x:v>FAM-35</x:v>
      </x:c>
      <x:c r="D313" s="37" t="str">
        <x:v>Privacy, consent &amp; audit trail</x:v>
      </x:c>
      <x:c r="E313" s="37" t="str">
        <x:v>Must</x:v>
      </x:c>
      <x:c r="F313" s="37" t="str">
        <x:v>Strict-route gate</x:v>
      </x:c>
      <x:c r="G313" s="37" t="str">
        <x:v>Noteworthy / Who GiveZAFuck: Consent, retention, access controls, provenance, and auditable actions.</x:v>
      </x:c>
      <x:c r="H313" s="38" t="str">
        <x:v>Central text box, autosave, recent/favorites, categories, basic search, copy/send/share flow.</x:v>
      </x:c>
    </x:row>
    <x:row r="314" ht="48" customHeight="1">
      <x:c r="A314" s="60" t="str">
        <x:v>DOS-017</x:v>
      </x:c>
      <x:c r="B314" s="37" t="str">
        <x:v>Noteworthy / Who GiveZAFuck</x:v>
      </x:c>
      <x:c r="C314" s="37" t="str">
        <x:v>FAM-02</x:v>
      </x:c>
      <x:c r="D314" s="37" t="str">
        <x:v>Android/mobile builder workability</x:v>
      </x:c>
      <x:c r="E314" s="37" t="str">
        <x:v>Important</x:v>
      </x:c>
      <x:c r="F314" s="37" t="str">
        <x:v>Score after gates</x:v>
      </x:c>
      <x:c r="G314" s="37" t="str">
        <x:v>Noteworthy / Who GiveZAFuck: Derek can build, edit, preview, test, and deploy with reasonable Android/mobile friction.</x:v>
      </x:c>
      <x:c r="H314" s="38" t="str">
        <x:v>Defer native keyboard, full spatial cockpit, and advanced AI memory.</x:v>
      </x:c>
    </x:row>
    <x:row r="315" ht="48" customHeight="1">
      <x:c r="A315" s="60" t="str">
        <x:v>DOS-017</x:v>
      </x:c>
      <x:c r="B315" s="37" t="str">
        <x:v>Noteworthy / Who GiveZAFuck</x:v>
      </x:c>
      <x:c r="C315" s="37" t="str">
        <x:v>FAM-03</x:v>
      </x:c>
      <x:c r="D315" s="37" t="str">
        <x:v>Authentication, identity &amp; roles</x:v>
      </x:c>
      <x:c r="E315" s="37" t="str">
        <x:v>Important</x:v>
      </x:c>
      <x:c r="F315" s="37" t="str">
        <x:v>Score after gates</x:v>
      </x:c>
      <x:c r="G315" s="37" t="str">
        <x:v>Noteworthy / Who GiveZAFuck: Sign-in, role-aware access, member identity, and permissions.</x:v>
      </x:c>
      <x:c r="H315" s="38" t="str">
        <x:v>Defer native keyboard, full spatial cockpit, and advanced AI memory.</x:v>
      </x:c>
    </x:row>
    <x:row r="316" ht="48" customHeight="1">
      <x:c r="A316" s="60" t="str">
        <x:v>DOS-017</x:v>
      </x:c>
      <x:c r="B316" s="37" t="str">
        <x:v>Noteworthy / Who GiveZAFuck</x:v>
      </x:c>
      <x:c r="C316" s="37" t="str">
        <x:v>FAM-12</x:v>
      </x:c>
      <x:c r="D316" s="37" t="str">
        <x:v>AI text generation, analysis &amp; agents</x:v>
      </x:c>
      <x:c r="E316" s="37" t="str">
        <x:v>Important</x:v>
      </x:c>
      <x:c r="F316" s="37" t="str">
        <x:v>Score after gates</x:v>
      </x:c>
      <x:c r="G316" s="37" t="str">
        <x:v>Noteworthy / Who GiveZAFuck: Prompted generation, classification, summarization, reasoning, or assistant behavior.</x:v>
      </x:c>
      <x:c r="H316" s="38" t="str">
        <x:v>Defer native keyboard, full spatial cockpit, and advanced AI memory.</x:v>
      </x:c>
    </x:row>
    <x:row r="317" ht="48" customHeight="1">
      <x:c r="A317" s="60" t="str">
        <x:v>DOS-017</x:v>
      </x:c>
      <x:c r="B317" s="37" t="str">
        <x:v>Noteworthy / Who GiveZAFuck</x:v>
      </x:c>
      <x:c r="C317" s="37" t="str">
        <x:v>FAM-14</x:v>
      </x:c>
      <x:c r="D317" s="37" t="str">
        <x:v>Personalization, memory &amp; preferences</x:v>
      </x:c>
      <x:c r="E317" s="37" t="str">
        <x:v>Important</x:v>
      </x:c>
      <x:c r="F317" s="37" t="str">
        <x:v>Score after gates</x:v>
      </x:c>
      <x:c r="G317" s="37" t="str">
        <x:v>Noteworthy / Who GiveZAFuck: Saved preferences, history, source memory, and adaptive outputs.</x:v>
      </x:c>
      <x:c r="H317" s="38" t="str">
        <x:v>Defer native keyboard, full spatial cockpit, and advanced AI memory.</x:v>
      </x:c>
    </x:row>
    <x:row r="318" ht="48" customHeight="1">
      <x:c r="A318" s="60" t="str">
        <x:v>DOS-017</x:v>
      </x:c>
      <x:c r="B318" s="37" t="str">
        <x:v>Noteworthy / Who GiveZAFuck</x:v>
      </x:c>
      <x:c r="C318" s="37" t="str">
        <x:v>FAM-20</x:v>
      </x:c>
      <x:c r="D318" s="37" t="str">
        <x:v>Notifications, reminders &amp; deadlines</x:v>
      </x:c>
      <x:c r="E318" s="37" t="str">
        <x:v>Important</x:v>
      </x:c>
      <x:c r="F318" s="37" t="str">
        <x:v>Score after gates</x:v>
      </x:c>
      <x:c r="G318" s="37" t="str">
        <x:v>Noteworthy / Who GiveZAFuck: Push/email/in-app reminders, scheduled tasks, and time-bound flows.</x:v>
      </x:c>
      <x:c r="H318" s="38" t="str">
        <x:v>Defer native keyboard, full spatial cockpit, and advanced AI memory.</x:v>
      </x:c>
    </x:row>
    <x:row r="319" ht="48" customHeight="1">
      <x:c r="A319" s="60" t="str">
        <x:v>DOS-017</x:v>
      </x:c>
      <x:c r="B319" s="37" t="str">
        <x:v>Noteworthy / Who GiveZAFuck</x:v>
      </x:c>
      <x:c r="C319" s="37" t="str">
        <x:v>FAM-21</x:v>
      </x:c>
      <x:c r="D319" s="37" t="str">
        <x:v>Automations, webhooks &amp; scheduled jobs</x:v>
      </x:c>
      <x:c r="E319" s="37" t="str">
        <x:v>Important</x:v>
      </x:c>
      <x:c r="F319" s="37" t="str">
        <x:v>Score after gates</x:v>
      </x:c>
      <x:c r="G319" s="37" t="str">
        <x:v>Noteworthy / Who GiveZAFuck: Event-driven workflows, scheduled tasks, background processes, and webhooks.</x:v>
      </x:c>
      <x:c r="H319" s="38" t="str">
        <x:v>Defer native keyboard, full spatial cockpit, and advanced AI memory.</x:v>
      </x:c>
    </x:row>
    <x:row r="320" ht="48" customHeight="1">
      <x:c r="A320" s="60" t="str">
        <x:v>DOS-017</x:v>
      </x:c>
      <x:c r="B320" s="37" t="str">
        <x:v>Noteworthy / Who GiveZAFuck</x:v>
      </x:c>
      <x:c r="C320" s="37" t="str">
        <x:v>FAM-24</x:v>
      </x:c>
      <x:c r="D320" s="37" t="str">
        <x:v>Export, publishing &amp; share routes</x:v>
      </x:c>
      <x:c r="E320" s="37" t="str">
        <x:v>Important</x:v>
      </x:c>
      <x:c r="F320" s="37" t="str">
        <x:v>Score after gates</x:v>
      </x:c>
      <x:c r="G320" s="37" t="str">
        <x:v>Noteworthy / Who GiveZAFuck: Download/export, social publishing, share links, and portable output packages.</x:v>
      </x:c>
      <x:c r="H320" s="38" t="str">
        <x:v>Defer native keyboard, full spatial cockpit, and advanced AI memory.</x:v>
      </x:c>
    </x:row>
    <x:row r="321" ht="48" customHeight="1">
      <x:c r="A321" s="60" t="str">
        <x:v>DOS-017</x:v>
      </x:c>
      <x:c r="B321" s="37" t="str">
        <x:v>Noteworthy / Who GiveZAFuck</x:v>
      </x:c>
      <x:c r="C321" s="37" t="str">
        <x:v>FAM-29</x:v>
      </x:c>
      <x:c r="D321" s="37" t="str">
        <x:v>Backend functions, APIs &amp; background compute</x:v>
      </x:c>
      <x:c r="E321" s="37" t="str">
        <x:v>Important</x:v>
      </x:c>
      <x:c r="F321" s="37" t="str">
        <x:v>Score after gates</x:v>
      </x:c>
      <x:c r="G321" s="37" t="str">
        <x:v>Noteworthy / Who GiveZAFuck: Server functions, secure APIs, logs, queues, scheduled tasks, and secrets.</x:v>
      </x:c>
      <x:c r="H321" s="38" t="str">
        <x:v>Defer native keyboard, full spatial cockpit, and advanced AI memory.</x:v>
      </x:c>
    </x:row>
    <x:row r="322" ht="48" customHeight="1">
      <x:c r="A322" s="60" t="str">
        <x:v>DOS-017</x:v>
      </x:c>
      <x:c r="B322" s="37" t="str">
        <x:v>Noteworthy / Who GiveZAFuck</x:v>
      </x:c>
      <x:c r="C322" s="37" t="str">
        <x:v>FAM-36</x:v>
      </x:c>
      <x:c r="D322" s="37" t="str">
        <x:v>Scoring, ranking &amp; matching logic</x:v>
      </x:c>
      <x:c r="E322" s="37" t="str">
        <x:v>Important</x:v>
      </x:c>
      <x:c r="F322" s="37" t="str">
        <x:v>Score after gates</x:v>
      </x:c>
      <x:c r="G322" s="37" t="str">
        <x:v>Noteworthy / Who GiveZAFuck: Transparent scorecards, requirements matching, routes, and tie-break explanations.</x:v>
      </x:c>
      <x:c r="H322" s="38" t="str">
        <x:v>Defer native keyboard, full spatial cockpit, and advanced AI memory.</x:v>
      </x:c>
    </x:row>
    <x:row r="323" ht="48" customHeight="1">
      <x:c r="A323" s="60" t="str">
        <x:v>DOS-017</x:v>
      </x:c>
      <x:c r="B323" s="37" t="str">
        <x:v>Noteworthy / Who GiveZAFuck</x:v>
      </x:c>
      <x:c r="C323" s="37" t="str">
        <x:v>FAM-15</x:v>
      </x:c>
      <x:c r="D323" s="37" t="str">
        <x:v>Social, realtime &amp; collaboration</x:v>
      </x:c>
      <x:c r="E323" s="37" t="str">
        <x:v>Expansion</x:v>
      </x:c>
      <x:c r="F323" s="37" t="str">
        <x:v>Flexible / later only</x:v>
      </x:c>
      <x:c r="G323" s="37" t="str">
        <x:v>Noteworthy / Who GiveZAFuck: Feeds, messaging, groups, sharing, realtime updates, or multi-user creation.</x:v>
      </x:c>
      <x:c r="H323" s="38" t="str">
        <x:v>Configurable visual cockpit, calendar/reminders, attachments, AI routing, orbital/space interfaces.</x:v>
      </x:c>
    </x:row>
    <x:row r="324" ht="48" customHeight="1">
      <x:c r="A324" s="60" t="str">
        <x:v>DOS-017</x:v>
      </x:c>
      <x:c r="B324" s="37" t="str">
        <x:v>Noteworthy / Who GiveZAFuck</x:v>
      </x:c>
      <x:c r="C324" s="37" t="str">
        <x:v>FAM-31</x:v>
      </x:c>
      <x:c r="D324" s="37" t="str">
        <x:v>Teams, co-creation &amp; permissions</x:v>
      </x:c>
      <x:c r="E324" s="37" t="str">
        <x:v>Expansion</x:v>
      </x:c>
      <x:c r="F324" s="37" t="str">
        <x:v>Flexible / later only</x:v>
      </x:c>
      <x:c r="G324" s="37" t="str">
        <x:v>Noteworthy / Who GiveZAFuck: Multi-person workspaces, collaboration, ownership boundaries, and team roles.</x:v>
      </x:c>
      <x:c r="H324" s="38" t="str">
        <x:v>Configurable visual cockpit, calendar/reminders, attachments, AI routing, orbital/space interfaces.</x:v>
      </x:c>
    </x:row>
    <x:row r="325" ht="48" customHeight="1">
      <x:c r="A325" s="60" t="str">
        <x:v>DOS-017</x:v>
      </x:c>
      <x:c r="B325" s="37" t="str">
        <x:v>Noteworthy / Who GiveZAFuck</x:v>
      </x:c>
      <x:c r="C325" s="37" t="str">
        <x:v>FAM-32</x:v>
      </x:c>
      <x:c r="D325" s="37" t="str">
        <x:v>Marketplace, templates &amp; creator assets</x:v>
      </x:c>
      <x:c r="E325" s="37" t="str">
        <x:v>Expansion</x:v>
      </x:c>
      <x:c r="F325" s="37" t="str">
        <x:v>Flexible / later only</x:v>
      </x:c>
      <x:c r="G325" s="37" t="str">
        <x:v>Noteworthy / Who GiveZAFuck: Listings, reusable assets, creator publishing, reviews, and marketplace rules.</x:v>
      </x:c>
      <x:c r="H325" s="38" t="str">
        <x:v>Configurable visual cockpit, calendar/reminders, attachments, AI routing, orbital/space interfaces.</x:v>
      </x:c>
    </x:row>
    <x:row r="326" ht="48" customHeight="1">
      <x:c r="A326" s="60" t="str">
        <x:v>DOS-017</x:v>
      </x:c>
      <x:c r="B326" s="37" t="str">
        <x:v>Noteworthy / Who GiveZAFuck</x:v>
      </x:c>
      <x:c r="C326" s="37" t="str">
        <x:v>FAM-37</x:v>
      </x:c>
      <x:c r="D326" s="37" t="str">
        <x:v>Gamification, challenges &amp; progression</x:v>
      </x:c>
      <x:c r="E326" s="37" t="str">
        <x:v>Expansion</x:v>
      </x:c>
      <x:c r="F326" s="37" t="str">
        <x:v>Flexible / later only</x:v>
      </x:c>
      <x:c r="G326" s="37" t="str">
        <x:v>Noteworthy / Who GiveZAFuck: Challenges, points, levels, voting, collection, and progress systems.</x:v>
      </x:c>
      <x:c r="H326" s="38" t="str">
        <x:v>Configurable visual cockpit, calendar/reminders, attachments, AI routing, orbital/space interfaces.</x:v>
      </x:c>
    </x:row>
    <x:row r="327" ht="48" customHeight="1">
      <x:c r="A327" s="60" t="str">
        <x:v>DOS-018</x:v>
      </x:c>
      <x:c r="B327" s="37" t="str">
        <x:v>Prompt Vault / PromptOS / PromptForge</x:v>
      </x:c>
      <x:c r="C327" s="37" t="str">
        <x:v>FAM-01</x:v>
      </x:c>
      <x:c r="D327" s="37" t="str">
        <x:v>Responsive web / PWA interface</x:v>
      </x:c>
      <x:c r="E327" s="37" t="str">
        <x:v>Must</x:v>
      </x:c>
      <x:c r="F327" s="37" t="str">
        <x:v>Strict-route gate</x:v>
      </x:c>
      <x:c r="G327" s="37" t="str">
        <x:v>Prompt Vault / PromptOS / PromptForge: Mobile-first responsive screens and app-like web navigation.</x:v>
      </x:c>
      <x:c r="H327" s="38" t="str">
        <x:v>Prompt records, folders/tags, versions, compare view, copy/export, basic project linkage.</x:v>
      </x:c>
    </x:row>
    <x:row r="328" ht="48" customHeight="1">
      <x:c r="A328" s="60" t="str">
        <x:v>DOS-018</x:v>
      </x:c>
      <x:c r="B328" s="37" t="str">
        <x:v>Prompt Vault / PromptOS / PromptForge</x:v>
      </x:c>
      <x:c r="C328" s="37" t="str">
        <x:v>FAM-03</x:v>
      </x:c>
      <x:c r="D328" s="37" t="str">
        <x:v>Authentication, identity &amp; roles</x:v>
      </x:c>
      <x:c r="E328" s="37" t="str">
        <x:v>Must</x:v>
      </x:c>
      <x:c r="F328" s="37" t="str">
        <x:v>Strict-route gate</x:v>
      </x:c>
      <x:c r="G328" s="37" t="str">
        <x:v>Prompt Vault / PromptOS / PromptForge: Sign-in, role-aware access, member identity, and permissions.</x:v>
      </x:c>
      <x:c r="H328" s="38" t="str">
        <x:v>Prompt records, folders/tags, versions, compare view, copy/export, basic project linkage.</x:v>
      </x:c>
    </x:row>
    <x:row r="329" ht="48" customHeight="1">
      <x:c r="A329" s="60" t="str">
        <x:v>DOS-018</x:v>
      </x:c>
      <x:c r="B329" s="37" t="str">
        <x:v>Prompt Vault / PromptOS / PromptForge</x:v>
      </x:c>
      <x:c r="C329" s="37" t="str">
        <x:v>FAM-05</x:v>
      </x:c>
      <x:c r="D329" s="37" t="str">
        <x:v>Structured database &amp; persistent records</x:v>
      </x:c>
      <x:c r="E329" s="37" t="str">
        <x:v>Must</x:v>
      </x:c>
      <x:c r="F329" s="37" t="str">
        <x:v>Strict-route gate</x:v>
      </x:c>
      <x:c r="G329" s="37" t="str">
        <x:v>Prompt Vault / PromptOS / PromptForge: Reliable structured data storage, retrieval, and updates.</x:v>
      </x:c>
      <x:c r="H329" s="38" t="str">
        <x:v>Prompt records, folders/tags, versions, compare view, copy/export, basic project linkage.</x:v>
      </x:c>
    </x:row>
    <x:row r="330" ht="48" customHeight="1">
      <x:c r="A330" s="60" t="str">
        <x:v>DOS-018</x:v>
      </x:c>
      <x:c r="B330" s="37" t="str">
        <x:v>Prompt Vault / PromptOS / PromptForge</x:v>
      </x:c>
      <x:c r="C330" s="37" t="str">
        <x:v>FAM-06</x:v>
      </x:c>
      <x:c r="D330" s="37" t="str">
        <x:v>Search, filters, lists &amp; directories</x:v>
      </x:c>
      <x:c r="E330" s="37" t="str">
        <x:v>Must</x:v>
      </x:c>
      <x:c r="F330" s="37" t="str">
        <x:v>Strict-route gate</x:v>
      </x:c>
      <x:c r="G330" s="37" t="str">
        <x:v>Prompt Vault / PromptOS / PromptForge: Searchable libraries, member lists, catalog browsing, and filtered views.</x:v>
      </x:c>
      <x:c r="H330" s="38" t="str">
        <x:v>Prompt records, folders/tags, versions, compare view, copy/export, basic project linkage.</x:v>
      </x:c>
    </x:row>
    <x:row r="331" ht="48" customHeight="1">
      <x:c r="A331" s="60" t="str">
        <x:v>DOS-018</x:v>
      </x:c>
      <x:c r="B331" s="37" t="str">
        <x:v>Prompt Vault / PromptOS / PromptForge</x:v>
      </x:c>
      <x:c r="C331" s="37" t="str">
        <x:v>FAM-14</x:v>
      </x:c>
      <x:c r="D331" s="37" t="str">
        <x:v>Personalization, memory &amp; preferences</x:v>
      </x:c>
      <x:c r="E331" s="37" t="str">
        <x:v>Must</x:v>
      </x:c>
      <x:c r="F331" s="37" t="str">
        <x:v>Strict-route gate</x:v>
      </x:c>
      <x:c r="G331" s="37" t="str">
        <x:v>Prompt Vault / PromptOS / PromptForge: Saved preferences, history, source memory, and adaptive outputs.</x:v>
      </x:c>
      <x:c r="H331" s="38" t="str">
        <x:v>Prompt records, folders/tags, versions, compare view, copy/export, basic project linkage.</x:v>
      </x:c>
    </x:row>
    <x:row r="332" ht="48" customHeight="1">
      <x:c r="A332" s="60" t="str">
        <x:v>DOS-018</x:v>
      </x:c>
      <x:c r="B332" s="37" t="str">
        <x:v>Prompt Vault / PromptOS / PromptForge</x:v>
      </x:c>
      <x:c r="C332" s="37" t="str">
        <x:v>FAM-24</x:v>
      </x:c>
      <x:c r="D332" s="37" t="str">
        <x:v>Export, publishing &amp; share routes</x:v>
      </x:c>
      <x:c r="E332" s="37" t="str">
        <x:v>Must</x:v>
      </x:c>
      <x:c r="F332" s="37" t="str">
        <x:v>Strict-route gate</x:v>
      </x:c>
      <x:c r="G332" s="37" t="str">
        <x:v>Prompt Vault / PromptOS / PromptForge: Download/export, social publishing, share links, and portable output packages.</x:v>
      </x:c>
      <x:c r="H332" s="38" t="str">
        <x:v>Prompt records, folders/tags, versions, compare view, copy/export, basic project linkage.</x:v>
      </x:c>
    </x:row>
    <x:row r="333" ht="48" customHeight="1">
      <x:c r="A333" s="60" t="str">
        <x:v>DOS-018</x:v>
      </x:c>
      <x:c r="B333" s="37" t="str">
        <x:v>Prompt Vault / PromptOS / PromptForge</x:v>
      </x:c>
      <x:c r="C333" s="37" t="str">
        <x:v>FAM-27</x:v>
      </x:c>
      <x:c r="D333" s="37" t="str">
        <x:v>Portability, ownership &amp; escape path</x:v>
      </x:c>
      <x:c r="E333" s="37" t="str">
        <x:v>Must</x:v>
      </x:c>
      <x:c r="F333" s="37" t="str">
        <x:v>Strict-route gate</x:v>
      </x:c>
      <x:c r="G333" s="37" t="str">
        <x:v>Prompt Vault / PromptOS / PromptForge: Code/data export, GitHub, custom domains, migration, and lock-in control.</x:v>
      </x:c>
      <x:c r="H333" s="38" t="str">
        <x:v>Prompt records, folders/tags, versions, compare view, copy/export, basic project linkage.</x:v>
      </x:c>
    </x:row>
    <x:row r="334" ht="48" customHeight="1">
      <x:c r="A334" s="60" t="str">
        <x:v>DOS-018</x:v>
      </x:c>
      <x:c r="B334" s="37" t="str">
        <x:v>Prompt Vault / PromptOS / PromptForge</x:v>
      </x:c>
      <x:c r="C334" s="37" t="str">
        <x:v>FAM-02</x:v>
      </x:c>
      <x:c r="D334" s="37" t="str">
        <x:v>Android/mobile builder workability</x:v>
      </x:c>
      <x:c r="E334" s="37" t="str">
        <x:v>Important</x:v>
      </x:c>
      <x:c r="F334" s="37" t="str">
        <x:v>Score after gates</x:v>
      </x:c>
      <x:c r="G334" s="37" t="str">
        <x:v>Prompt Vault / PromptOS / PromptForge: Derek can build, edit, preview, test, and deploy with reasonable Android/mobile friction.</x:v>
      </x:c>
      <x:c r="H334" s="38" t="str">
        <x:v>Start personal/single-user; defer marketplace and real-time teams.</x:v>
      </x:c>
    </x:row>
    <x:row r="335" ht="48" customHeight="1">
      <x:c r="A335" s="60" t="str">
        <x:v>DOS-018</x:v>
      </x:c>
      <x:c r="B335" s="37" t="str">
        <x:v>Prompt Vault / PromptOS / PromptForge</x:v>
      </x:c>
      <x:c r="C335" s="37" t="str">
        <x:v>FAM-12</x:v>
      </x:c>
      <x:c r="D335" s="37" t="str">
        <x:v>AI text generation, analysis &amp; agents</x:v>
      </x:c>
      <x:c r="E335" s="37" t="str">
        <x:v>Important</x:v>
      </x:c>
      <x:c r="F335" s="37" t="str">
        <x:v>Score after gates</x:v>
      </x:c>
      <x:c r="G335" s="37" t="str">
        <x:v>Prompt Vault / PromptOS / PromptForge: Prompted generation, classification, summarization, reasoning, or assistant behavior.</x:v>
      </x:c>
      <x:c r="H335" s="38" t="str">
        <x:v>Start personal/single-user; defer marketplace and real-time teams.</x:v>
      </x:c>
    </x:row>
    <x:row r="336" ht="48" customHeight="1">
      <x:c r="A336" s="60" t="str">
        <x:v>DOS-018</x:v>
      </x:c>
      <x:c r="B336" s="37" t="str">
        <x:v>Prompt Vault / PromptOS / PromptForge</x:v>
      </x:c>
      <x:c r="C336" s="37" t="str">
        <x:v>FAM-21</x:v>
      </x:c>
      <x:c r="D336" s="37" t="str">
        <x:v>Automations, webhooks &amp; scheduled jobs</x:v>
      </x:c>
      <x:c r="E336" s="37" t="str">
        <x:v>Important</x:v>
      </x:c>
      <x:c r="F336" s="37" t="str">
        <x:v>Score after gates</x:v>
      </x:c>
      <x:c r="G336" s="37" t="str">
        <x:v>Prompt Vault / PromptOS / PromptForge: Event-driven workflows, scheduled tasks, background processes, and webhooks.</x:v>
      </x:c>
      <x:c r="H336" s="38" t="str">
        <x:v>Start personal/single-user; defer marketplace and real-time teams.</x:v>
      </x:c>
    </x:row>
    <x:row r="337" ht="48" customHeight="1">
      <x:c r="A337" s="60" t="str">
        <x:v>DOS-018</x:v>
      </x:c>
      <x:c r="B337" s="37" t="str">
        <x:v>Prompt Vault / PromptOS / PromptForge</x:v>
      </x:c>
      <x:c r="C337" s="37" t="str">
        <x:v>FAM-22</x:v>
      </x:c>
      <x:c r="D337" s="37" t="str">
        <x:v>APIs &amp; third-party integrations</x:v>
      </x:c>
      <x:c r="E337" s="37" t="str">
        <x:v>Important</x:v>
      </x:c>
      <x:c r="F337" s="37" t="str">
        <x:v>Score after gates</x:v>
      </x:c>
      <x:c r="G337" s="37" t="str">
        <x:v>Prompt Vault / PromptOS / PromptForge: External services, social/export targets, payment providers, and service connectors.</x:v>
      </x:c>
      <x:c r="H337" s="38" t="str">
        <x:v>Start personal/single-user; defer marketplace and real-time teams.</x:v>
      </x:c>
    </x:row>
    <x:row r="338" ht="48" customHeight="1">
      <x:c r="A338" s="60" t="str">
        <x:v>DOS-018</x:v>
      </x:c>
      <x:c r="B338" s="37" t="str">
        <x:v>Prompt Vault / PromptOS / PromptForge</x:v>
      </x:c>
      <x:c r="C338" s="37" t="str">
        <x:v>FAM-25</x:v>
      </x:c>
      <x:c r="D338" s="37" t="str">
        <x:v>Analytics, reporting &amp; decision dashboards</x:v>
      </x:c>
      <x:c r="E338" s="37" t="str">
        <x:v>Important</x:v>
      </x:c>
      <x:c r="F338" s="37" t="str">
        <x:v>Score after gates</x:v>
      </x:c>
      <x:c r="G338" s="37" t="str">
        <x:v>Prompt Vault / PromptOS / PromptForge: Usage metrics, charts, rankings, reporting, and decision support.</x:v>
      </x:c>
      <x:c r="H338" s="38" t="str">
        <x:v>Start personal/single-user; defer marketplace and real-time teams.</x:v>
      </x:c>
    </x:row>
    <x:row r="339" ht="48" customHeight="1">
      <x:c r="A339" s="60" t="str">
        <x:v>DOS-018</x:v>
      </x:c>
      <x:c r="B339" s="37" t="str">
        <x:v>Prompt Vault / PromptOS / PromptForge</x:v>
      </x:c>
      <x:c r="C339" s="37" t="str">
        <x:v>FAM-26</x:v>
      </x:c>
      <x:c r="D339" s="37" t="str">
        <x:v>Admin, CMS &amp; operational management</x:v>
      </x:c>
      <x:c r="E339" s="37" t="str">
        <x:v>Important</x:v>
      </x:c>
      <x:c r="F339" s="37" t="str">
        <x:v>Score after gates</x:v>
      </x:c>
      <x:c r="G339" s="37" t="str">
        <x:v>Prompt Vault / PromptOS / PromptForge: Admin views, content management, operational review, and human overrides.</x:v>
      </x:c>
      <x:c r="H339" s="38" t="str">
        <x:v>Start personal/single-user; defer marketplace and real-time teams.</x:v>
      </x:c>
    </x:row>
    <x:row r="340" ht="48" customHeight="1">
      <x:c r="A340" s="60" t="str">
        <x:v>DOS-018</x:v>
      </x:c>
      <x:c r="B340" s="37" t="str">
        <x:v>Prompt Vault / PromptOS / PromptForge</x:v>
      </x:c>
      <x:c r="C340" s="37" t="str">
        <x:v>FAM-35</x:v>
      </x:c>
      <x:c r="D340" s="37" t="str">
        <x:v>Privacy, consent &amp; audit trail</x:v>
      </x:c>
      <x:c r="E340" s="37" t="str">
        <x:v>Important</x:v>
      </x:c>
      <x:c r="F340" s="37" t="str">
        <x:v>Score after gates</x:v>
      </x:c>
      <x:c r="G340" s="37" t="str">
        <x:v>Prompt Vault / PromptOS / PromptForge: Consent, retention, access controls, provenance, and auditable actions.</x:v>
      </x:c>
      <x:c r="H340" s="38" t="str">
        <x:v>Start personal/single-user; defer marketplace and real-time teams.</x:v>
      </x:c>
    </x:row>
    <x:row r="341" ht="48" customHeight="1">
      <x:c r="A341" s="60" t="str">
        <x:v>DOS-018</x:v>
      </x:c>
      <x:c r="B341" s="37" t="str">
        <x:v>Prompt Vault / PromptOS / PromptForge</x:v>
      </x:c>
      <x:c r="C341" s="37" t="str">
        <x:v>FAM-15</x:v>
      </x:c>
      <x:c r="D341" s="37" t="str">
        <x:v>Social, realtime &amp; collaboration</x:v>
      </x:c>
      <x:c r="E341" s="37" t="str">
        <x:v>Expansion</x:v>
      </x:c>
      <x:c r="F341" s="37" t="str">
        <x:v>Flexible / later only</x:v>
      </x:c>
      <x:c r="G341" s="37" t="str">
        <x:v>Prompt Vault / PromptOS / PromptForge: Feeds, messaging, groups, sharing, realtime updates, or multi-user creation.</x:v>
      </x:c>
      <x:c r="H341" s="38" t="str">
        <x:v>Lovable handoff, prompt IDE, public assets, creator profiles.</x:v>
      </x:c>
    </x:row>
    <x:row r="342" ht="48" customHeight="1">
      <x:c r="A342" s="60" t="str">
        <x:v>DOS-018</x:v>
      </x:c>
      <x:c r="B342" s="37" t="str">
        <x:v>Prompt Vault / PromptOS / PromptForge</x:v>
      </x:c>
      <x:c r="C342" s="37" t="str">
        <x:v>FAM-17</x:v>
      </x:c>
      <x:c r="D342" s="37" t="str">
        <x:v>Payments, subscriptions &amp; billing</x:v>
      </x:c>
      <x:c r="E342" s="37" t="str">
        <x:v>Expansion</x:v>
      </x:c>
      <x:c r="F342" s="37" t="str">
        <x:v>Flexible / later only</x:v>
      </x:c>
      <x:c r="G342" s="37" t="str">
        <x:v>Prompt Vault / PromptOS / PromptForge: Payments, subscriptions, checkout, entitlements, and billing-aware workflows.</x:v>
      </x:c>
      <x:c r="H342" s="38" t="str">
        <x:v>Lovable handoff, prompt IDE, public assets, creator profiles.</x:v>
      </x:c>
    </x:row>
    <x:row r="343" ht="48" customHeight="1">
      <x:c r="A343" s="60" t="str">
        <x:v>DOS-018</x:v>
      </x:c>
      <x:c r="B343" s="37" t="str">
        <x:v>Prompt Vault / PromptOS / PromptForge</x:v>
      </x:c>
      <x:c r="C343" s="37" t="str">
        <x:v>FAM-31</x:v>
      </x:c>
      <x:c r="D343" s="37" t="str">
        <x:v>Teams, co-creation &amp; permissions</x:v>
      </x:c>
      <x:c r="E343" s="37" t="str">
        <x:v>Expansion</x:v>
      </x:c>
      <x:c r="F343" s="37" t="str">
        <x:v>Flexible / later only</x:v>
      </x:c>
      <x:c r="G343" s="37" t="str">
        <x:v>Prompt Vault / PromptOS / PromptForge: Multi-person workspaces, collaboration, ownership boundaries, and team roles.</x:v>
      </x:c>
      <x:c r="H343" s="38" t="str">
        <x:v>Lovable handoff, prompt IDE, public assets, creator profiles.</x:v>
      </x:c>
    </x:row>
    <x:row r="344" ht="48" customHeight="1">
      <x:c r="A344" s="60" t="str">
        <x:v>DOS-018</x:v>
      </x:c>
      <x:c r="B344" s="37" t="str">
        <x:v>Prompt Vault / PromptOS / PromptForge</x:v>
      </x:c>
      <x:c r="C344" s="37" t="str">
        <x:v>FAM-32</x:v>
      </x:c>
      <x:c r="D344" s="37" t="str">
        <x:v>Marketplace, templates &amp; creator assets</x:v>
      </x:c>
      <x:c r="E344" s="37" t="str">
        <x:v>Expansion</x:v>
      </x:c>
      <x:c r="F344" s="37" t="str">
        <x:v>Flexible / later only</x:v>
      </x:c>
      <x:c r="G344" s="37" t="str">
        <x:v>Prompt Vault / PromptOS / PromptForge: Listings, reusable assets, creator publishing, reviews, and marketplace rules.</x:v>
      </x:c>
      <x:c r="H344" s="38" t="str">
        <x:v>Lovable handoff, prompt IDE, public assets, creator profiles.</x:v>
      </x:c>
    </x:row>
    <x:row r="345" ht="48" customHeight="1">
      <x:c r="A345" s="60" t="str">
        <x:v>DOS-019</x:v>
      </x:c>
      <x:c r="B345" s="37" t="str">
        <x:v>AI Source-Material Repository</x:v>
      </x:c>
      <x:c r="C345" s="37" t="str">
        <x:v>FAM-01</x:v>
      </x:c>
      <x:c r="D345" s="37" t="str">
        <x:v>Responsive web / PWA interface</x:v>
      </x:c>
      <x:c r="E345" s="37" t="str">
        <x:v>Must</x:v>
      </x:c>
      <x:c r="F345" s="37" t="str">
        <x:v>Strict-route gate</x:v>
      </x:c>
      <x:c r="G345" s="37" t="str">
        <x:v>AI Source-Material Repository: Mobile-first responsive screens and app-like web navigation.</x:v>
      </x:c>
      <x:c r="H345" s="38" t="str">
        <x:v>Public/site taxonomy, asset pages, upload/intake, search, source/rights fields, creator/contact path.</x:v>
      </x:c>
    </x:row>
    <x:row r="346" ht="48" customHeight="1">
      <x:c r="A346" s="60" t="str">
        <x:v>DOS-019</x:v>
      </x:c>
      <x:c r="B346" s="37" t="str">
        <x:v>AI Source-Material Repository</x:v>
      </x:c>
      <x:c r="C346" s="37" t="str">
        <x:v>FAM-03</x:v>
      </x:c>
      <x:c r="D346" s="37" t="str">
        <x:v>Authentication, identity &amp; roles</x:v>
      </x:c>
      <x:c r="E346" s="37" t="str">
        <x:v>Must</x:v>
      </x:c>
      <x:c r="F346" s="37" t="str">
        <x:v>Strict-route gate</x:v>
      </x:c>
      <x:c r="G346" s="37" t="str">
        <x:v>AI Source-Material Repository: Sign-in, role-aware access, member identity, and permissions.</x:v>
      </x:c>
      <x:c r="H346" s="38" t="str">
        <x:v>Public/site taxonomy, asset pages, upload/intake, search, source/rights fields, creator/contact path.</x:v>
      </x:c>
    </x:row>
    <x:row r="347" ht="48" customHeight="1">
      <x:c r="A347" s="60" t="str">
        <x:v>DOS-019</x:v>
      </x:c>
      <x:c r="B347" s="37" t="str">
        <x:v>AI Source-Material Repository</x:v>
      </x:c>
      <x:c r="C347" s="37" t="str">
        <x:v>FAM-04</x:v>
      </x:c>
      <x:c r="D347" s="37" t="str">
        <x:v>Profiles, portfolios &amp; relationship records</x:v>
      </x:c>
      <x:c r="E347" s="37" t="str">
        <x:v>Must</x:v>
      </x:c>
      <x:c r="F347" s="37" t="str">
        <x:v>Strict-route gate</x:v>
      </x:c>
      <x:c r="G347" s="37" t="str">
        <x:v>AI Source-Material Repository: Persistent user/member/creator profiles and linked relationships.</x:v>
      </x:c>
      <x:c r="H347" s="38" t="str">
        <x:v>Public/site taxonomy, asset pages, upload/intake, search, source/rights fields, creator/contact path.</x:v>
      </x:c>
    </x:row>
    <x:row r="348" ht="48" customHeight="1">
      <x:c r="A348" s="60" t="str">
        <x:v>DOS-019</x:v>
      </x:c>
      <x:c r="B348" s="37" t="str">
        <x:v>AI Source-Material Repository</x:v>
      </x:c>
      <x:c r="C348" s="37" t="str">
        <x:v>FAM-05</x:v>
      </x:c>
      <x:c r="D348" s="37" t="str">
        <x:v>Structured database &amp; persistent records</x:v>
      </x:c>
      <x:c r="E348" s="37" t="str">
        <x:v>Must</x:v>
      </x:c>
      <x:c r="F348" s="37" t="str">
        <x:v>Strict-route gate</x:v>
      </x:c>
      <x:c r="G348" s="37" t="str">
        <x:v>AI Source-Material Repository: Reliable structured data storage, retrieval, and updates.</x:v>
      </x:c>
      <x:c r="H348" s="38" t="str">
        <x:v>Public/site taxonomy, asset pages, upload/intake, search, source/rights fields, creator/contact path.</x:v>
      </x:c>
    </x:row>
    <x:row r="349" ht="48" customHeight="1">
      <x:c r="A349" s="60" t="str">
        <x:v>DOS-019</x:v>
      </x:c>
      <x:c r="B349" s="37" t="str">
        <x:v>AI Source-Material Repository</x:v>
      </x:c>
      <x:c r="C349" s="37" t="str">
        <x:v>FAM-06</x:v>
      </x:c>
      <x:c r="D349" s="37" t="str">
        <x:v>Search, filters, lists &amp; directories</x:v>
      </x:c>
      <x:c r="E349" s="37" t="str">
        <x:v>Must</x:v>
      </x:c>
      <x:c r="F349" s="37" t="str">
        <x:v>Strict-route gate</x:v>
      </x:c>
      <x:c r="G349" s="37" t="str">
        <x:v>AI Source-Material Repository: Searchable libraries, member lists, catalog browsing, and filtered views.</x:v>
      </x:c>
      <x:c r="H349" s="38" t="str">
        <x:v>Public/site taxonomy, asset pages, upload/intake, search, source/rights fields, creator/contact path.</x:v>
      </x:c>
    </x:row>
    <x:row r="350" ht="48" customHeight="1">
      <x:c r="A350" s="60" t="str">
        <x:v>DOS-019</x:v>
      </x:c>
      <x:c r="B350" s="37" t="str">
        <x:v>AI Source-Material Repository</x:v>
      </x:c>
      <x:c r="C350" s="37" t="str">
        <x:v>FAM-17</x:v>
      </x:c>
      <x:c r="D350" s="37" t="str">
        <x:v>Payments, subscriptions &amp; billing</x:v>
      </x:c>
      <x:c r="E350" s="37" t="str">
        <x:v>Must</x:v>
      </x:c>
      <x:c r="F350" s="37" t="str">
        <x:v>Strict-route gate</x:v>
      </x:c>
      <x:c r="G350" s="37" t="str">
        <x:v>AI Source-Material Repository: Payments, subscriptions, checkout, entitlements, and billing-aware workflows.</x:v>
      </x:c>
      <x:c r="H350" s="38" t="str">
        <x:v>Public/site taxonomy, asset pages, upload/intake, search, source/rights fields, creator/contact path.</x:v>
      </x:c>
    </x:row>
    <x:row r="351" ht="48" customHeight="1">
      <x:c r="A351" s="60" t="str">
        <x:v>DOS-019</x:v>
      </x:c>
      <x:c r="B351" s="37" t="str">
        <x:v>AI Source-Material Repository</x:v>
      </x:c>
      <x:c r="C351" s="37" t="str">
        <x:v>FAM-23</x:v>
      </x:c>
      <x:c r="D351" s="37" t="str">
        <x:v>Public website, SEO &amp; domain control</x:v>
      </x:c>
      <x:c r="E351" s="37" t="str">
        <x:v>Must</x:v>
      </x:c>
      <x:c r="F351" s="37" t="str">
        <x:v>Strict-route gate</x:v>
      </x:c>
      <x:c r="G351" s="37" t="str">
        <x:v>AI Source-Material Repository: Public pages, discoverability, custom domain, shareability, and search metadata.</x:v>
      </x:c>
      <x:c r="H351" s="38" t="str">
        <x:v>Public/site taxonomy, asset pages, upload/intake, search, source/rights fields, creator/contact path.</x:v>
      </x:c>
    </x:row>
    <x:row r="352" ht="48" customHeight="1">
      <x:c r="A352" s="60" t="str">
        <x:v>DOS-019</x:v>
      </x:c>
      <x:c r="B352" s="37" t="str">
        <x:v>AI Source-Material Repository</x:v>
      </x:c>
      <x:c r="C352" s="37" t="str">
        <x:v>FAM-26</x:v>
      </x:c>
      <x:c r="D352" s="37" t="str">
        <x:v>Admin, CMS &amp; operational management</x:v>
      </x:c>
      <x:c r="E352" s="37" t="str">
        <x:v>Must</x:v>
      </x:c>
      <x:c r="F352" s="37" t="str">
        <x:v>Strict-route gate</x:v>
      </x:c>
      <x:c r="G352" s="37" t="str">
        <x:v>AI Source-Material Repository: Admin views, content management, operational review, and human overrides.</x:v>
      </x:c>
      <x:c r="H352" s="38" t="str">
        <x:v>Public/site taxonomy, asset pages, upload/intake, search, source/rights fields, creator/contact path.</x:v>
      </x:c>
    </x:row>
    <x:row r="353" ht="48" customHeight="1">
      <x:c r="A353" s="60" t="str">
        <x:v>DOS-019</x:v>
      </x:c>
      <x:c r="B353" s="37" t="str">
        <x:v>AI Source-Material Repository</x:v>
      </x:c>
      <x:c r="C353" s="37" t="str">
        <x:v>FAM-32</x:v>
      </x:c>
      <x:c r="D353" s="37" t="str">
        <x:v>Marketplace, templates &amp; creator assets</x:v>
      </x:c>
      <x:c r="E353" s="37" t="str">
        <x:v>Must</x:v>
      </x:c>
      <x:c r="F353" s="37" t="str">
        <x:v>Strict-route gate</x:v>
      </x:c>
      <x:c r="G353" s="37" t="str">
        <x:v>AI Source-Material Repository: Listings, reusable assets, creator publishing, reviews, and marketplace rules.</x:v>
      </x:c>
      <x:c r="H353" s="38" t="str">
        <x:v>Public/site taxonomy, asset pages, upload/intake, search, source/rights fields, creator/contact path.</x:v>
      </x:c>
    </x:row>
    <x:row r="354" ht="48" customHeight="1">
      <x:c r="A354" s="60" t="str">
        <x:v>DOS-019</x:v>
      </x:c>
      <x:c r="B354" s="37" t="str">
        <x:v>AI Source-Material Repository</x:v>
      </x:c>
      <x:c r="C354" s="37" t="str">
        <x:v>FAM-02</x:v>
      </x:c>
      <x:c r="D354" s="37" t="str">
        <x:v>Android/mobile builder workability</x:v>
      </x:c>
      <x:c r="E354" s="37" t="str">
        <x:v>Important</x:v>
      </x:c>
      <x:c r="F354" s="37" t="str">
        <x:v>Score after gates</x:v>
      </x:c>
      <x:c r="G354" s="37" t="str">
        <x:v>AI Source-Material Repository: Derek can build, edit, preview, test, and deploy with reasonable Android/mobile friction.</x:v>
      </x:c>
      <x:c r="H354" s="38" t="str">
        <x:v>Start curated and manual; defer open marketplace contribution/reviews.</x:v>
      </x:c>
    </x:row>
    <x:row r="355" ht="48" customHeight="1">
      <x:c r="A355" s="60" t="str">
        <x:v>DOS-019</x:v>
      </x:c>
      <x:c r="B355" s="37" t="str">
        <x:v>AI Source-Material Repository</x:v>
      </x:c>
      <x:c r="C355" s="37" t="str">
        <x:v>FAM-07</x:v>
      </x:c>
      <x:c r="D355" s="37" t="str">
        <x:v>File intake, storage &amp; lifecycle</x:v>
      </x:c>
      <x:c r="E355" s="37" t="str">
        <x:v>Important</x:v>
      </x:c>
      <x:c r="F355" s="37" t="str">
        <x:v>Score after gates</x:v>
      </x:c>
      <x:c r="G355" s="37" t="str">
        <x:v>AI Source-Material Repository: Upload/import, validation, storage, retention, and file-size handling.</x:v>
      </x:c>
      <x:c r="H355" s="38" t="str">
        <x:v>Start curated and manual; defer open marketplace contribution/reviews.</x:v>
      </x:c>
    </x:row>
    <x:row r="356" ht="48" customHeight="1">
      <x:c r="A356" s="60" t="str">
        <x:v>DOS-019</x:v>
      </x:c>
      <x:c r="B356" s="37" t="str">
        <x:v>AI Source-Material Repository</x:v>
      </x:c>
      <x:c r="C356" s="37" t="str">
        <x:v>FAM-15</x:v>
      </x:c>
      <x:c r="D356" s="37" t="str">
        <x:v>Social, realtime &amp; collaboration</x:v>
      </x:c>
      <x:c r="E356" s="37" t="str">
        <x:v>Important</x:v>
      </x:c>
      <x:c r="F356" s="37" t="str">
        <x:v>Score after gates</x:v>
      </x:c>
      <x:c r="G356" s="37" t="str">
        <x:v>AI Source-Material Repository: Feeds, messaging, groups, sharing, realtime updates, or multi-user creation.</x:v>
      </x:c>
      <x:c r="H356" s="38" t="str">
        <x:v>Start curated and manual; defer open marketplace contribution/reviews.</x:v>
      </x:c>
    </x:row>
    <x:row r="357" ht="48" customHeight="1">
      <x:c r="A357" s="60" t="str">
        <x:v>DOS-019</x:v>
      </x:c>
      <x:c r="B357" s="37" t="str">
        <x:v>AI Source-Material Repository</x:v>
      </x:c>
      <x:c r="C357" s="37" t="str">
        <x:v>FAM-16</x:v>
      </x:c>
      <x:c r="D357" s="37" t="str">
        <x:v>Content moderation &amp; reporting</x:v>
      </x:c>
      <x:c r="E357" s="37" t="str">
        <x:v>Important</x:v>
      </x:c>
      <x:c r="F357" s="37" t="str">
        <x:v>Score after gates</x:v>
      </x:c>
      <x:c r="G357" s="37" t="str">
        <x:v>AI Source-Material Repository: Reports, queues, permissions, review actions, and community safety controls.</x:v>
      </x:c>
      <x:c r="H357" s="38" t="str">
        <x:v>Start curated and manual; defer open marketplace contribution/reviews.</x:v>
      </x:c>
    </x:row>
    <x:row r="358" ht="48" customHeight="1">
      <x:c r="A358" s="60" t="str">
        <x:v>DOS-019</x:v>
      </x:c>
      <x:c r="B358" s="37" t="str">
        <x:v>AI Source-Material Repository</x:v>
      </x:c>
      <x:c r="C358" s="37" t="str">
        <x:v>FAM-21</x:v>
      </x:c>
      <x:c r="D358" s="37" t="str">
        <x:v>Automations, webhooks &amp; scheduled jobs</x:v>
      </x:c>
      <x:c r="E358" s="37" t="str">
        <x:v>Important</x:v>
      </x:c>
      <x:c r="F358" s="37" t="str">
        <x:v>Score after gates</x:v>
      </x:c>
      <x:c r="G358" s="37" t="str">
        <x:v>AI Source-Material Repository: Event-driven workflows, scheduled tasks, background processes, and webhooks.</x:v>
      </x:c>
      <x:c r="H358" s="38" t="str">
        <x:v>Start curated and manual; defer open marketplace contribution/reviews.</x:v>
      </x:c>
    </x:row>
    <x:row r="359" ht="48" customHeight="1">
      <x:c r="A359" s="60" t="str">
        <x:v>DOS-019</x:v>
      </x:c>
      <x:c r="B359" s="37" t="str">
        <x:v>AI Source-Material Repository</x:v>
      </x:c>
      <x:c r="C359" s="37" t="str">
        <x:v>FAM-25</x:v>
      </x:c>
      <x:c r="D359" s="37" t="str">
        <x:v>Analytics, reporting &amp; decision dashboards</x:v>
      </x:c>
      <x:c r="E359" s="37" t="str">
        <x:v>Important</x:v>
      </x:c>
      <x:c r="F359" s="37" t="str">
        <x:v>Score after gates</x:v>
      </x:c>
      <x:c r="G359" s="37" t="str">
        <x:v>AI Source-Material Repository: Usage metrics, charts, rankings, reporting, and decision support.</x:v>
      </x:c>
      <x:c r="H359" s="38" t="str">
        <x:v>Start curated and manual; defer open marketplace contribution/reviews.</x:v>
      </x:c>
    </x:row>
    <x:row r="360" ht="48" customHeight="1">
      <x:c r="A360" s="60" t="str">
        <x:v>DOS-019</x:v>
      </x:c>
      <x:c r="B360" s="37" t="str">
        <x:v>AI Source-Material Repository</x:v>
      </x:c>
      <x:c r="C360" s="37" t="str">
        <x:v>FAM-27</x:v>
      </x:c>
      <x:c r="D360" s="37" t="str">
        <x:v>Portability, ownership &amp; escape path</x:v>
      </x:c>
      <x:c r="E360" s="37" t="str">
        <x:v>Important</x:v>
      </x:c>
      <x:c r="F360" s="37" t="str">
        <x:v>Score after gates</x:v>
      </x:c>
      <x:c r="G360" s="37" t="str">
        <x:v>AI Source-Material Repository: Code/data export, GitHub, custom domains, migration, and lock-in control.</x:v>
      </x:c>
      <x:c r="H360" s="38" t="str">
        <x:v>Start curated and manual; defer open marketplace contribution/reviews.</x:v>
      </x:c>
    </x:row>
    <x:row r="361" ht="48" customHeight="1">
      <x:c r="A361" s="60" t="str">
        <x:v>DOS-019</x:v>
      </x:c>
      <x:c r="B361" s="37" t="str">
        <x:v>AI Source-Material Repository</x:v>
      </x:c>
      <x:c r="C361" s="37" t="str">
        <x:v>FAM-35</x:v>
      </x:c>
      <x:c r="D361" s="37" t="str">
        <x:v>Privacy, consent &amp; audit trail</x:v>
      </x:c>
      <x:c r="E361" s="37" t="str">
        <x:v>Important</x:v>
      </x:c>
      <x:c r="F361" s="37" t="str">
        <x:v>Score after gates</x:v>
      </x:c>
      <x:c r="G361" s="37" t="str">
        <x:v>AI Source-Material Repository: Consent, retention, access controls, provenance, and auditable actions.</x:v>
      </x:c>
      <x:c r="H361" s="38" t="str">
        <x:v>Start curated and manual; defer open marketplace contribution/reviews.</x:v>
      </x:c>
    </x:row>
    <x:row r="362" ht="48" customHeight="1">
      <x:c r="A362" s="60" t="str">
        <x:v>DOS-019</x:v>
      </x:c>
      <x:c r="B362" s="37" t="str">
        <x:v>AI Source-Material Repository</x:v>
      </x:c>
      <x:c r="C362" s="37" t="str">
        <x:v>FAM-12</x:v>
      </x:c>
      <x:c r="D362" s="37" t="str">
        <x:v>AI text generation, analysis &amp; agents</x:v>
      </x:c>
      <x:c r="E362" s="37" t="str">
        <x:v>Expansion</x:v>
      </x:c>
      <x:c r="F362" s="37" t="str">
        <x:v>Flexible / later only</x:v>
      </x:c>
      <x:c r="G362" s="37" t="str">
        <x:v>AI Source-Material Repository: Prompted generation, classification, summarization, reasoning, or assistant behavior.</x:v>
      </x:c>
      <x:c r="H362" s="38" t="str">
        <x:v>Creator profiles, verification, rankings, installs, paid assets.</x:v>
      </x:c>
    </x:row>
    <x:row r="363" ht="48" customHeight="1">
      <x:c r="A363" s="60" t="str">
        <x:v>DOS-019</x:v>
      </x:c>
      <x:c r="B363" s="37" t="str">
        <x:v>AI Source-Material Repository</x:v>
      </x:c>
      <x:c r="C363" s="37" t="str">
        <x:v>FAM-19</x:v>
      </x:c>
      <x:c r="D363" s="37" t="str">
        <x:v>Rewards, badges &amp; entitlements</x:v>
      </x:c>
      <x:c r="E363" s="37" t="str">
        <x:v>Expansion</x:v>
      </x:c>
      <x:c r="F363" s="37" t="str">
        <x:v>Flexible / later only</x:v>
      </x:c>
      <x:c r="G363" s="37" t="str">
        <x:v>AI Source-Material Repository: Loyalty, roles, rewards, badges, credits, and access logic.</x:v>
      </x:c>
      <x:c r="H363" s="38" t="str">
        <x:v>Creator profiles, verification, rankings, installs, paid assets.</x:v>
      </x:c>
    </x:row>
    <x:row r="364" ht="48" customHeight="1">
      <x:c r="A364" s="60" t="str">
        <x:v>DOS-019</x:v>
      </x:c>
      <x:c r="B364" s="37" t="str">
        <x:v>AI Source-Material Repository</x:v>
      </x:c>
      <x:c r="C364" s="37" t="str">
        <x:v>FAM-20</x:v>
      </x:c>
      <x:c r="D364" s="37" t="str">
        <x:v>Notifications, reminders &amp; deadlines</x:v>
      </x:c>
      <x:c r="E364" s="37" t="str">
        <x:v>Expansion</x:v>
      </x:c>
      <x:c r="F364" s="37" t="str">
        <x:v>Flexible / later only</x:v>
      </x:c>
      <x:c r="G364" s="37" t="str">
        <x:v>AI Source-Material Repository: Push/email/in-app reminders, scheduled tasks, and time-bound flows.</x:v>
      </x:c>
      <x:c r="H364" s="38" t="str">
        <x:v>Creator profiles, verification, rankings, installs, paid assets.</x:v>
      </x:c>
    </x:row>
    <x:row r="365" ht="48" customHeight="1">
      <x:c r="A365" s="60" t="str">
        <x:v>DOS-019</x:v>
      </x:c>
      <x:c r="B365" s="37" t="str">
        <x:v>AI Source-Material Repository</x:v>
      </x:c>
      <x:c r="C365" s="37" t="str">
        <x:v>FAM-31</x:v>
      </x:c>
      <x:c r="D365" s="37" t="str">
        <x:v>Teams, co-creation &amp; permissions</x:v>
      </x:c>
      <x:c r="E365" s="37" t="str">
        <x:v>Expansion</x:v>
      </x:c>
      <x:c r="F365" s="37" t="str">
        <x:v>Flexible / later only</x:v>
      </x:c>
      <x:c r="G365" s="37" t="str">
        <x:v>AI Source-Material Repository: Multi-person workspaces, collaboration, ownership boundaries, and team roles.</x:v>
      </x:c>
      <x:c r="H365" s="38" t="str">
        <x:v>Creator profiles, verification, rankings, installs, paid assets.</x:v>
      </x:c>
    </x:row>
    <x:row r="366" ht="48" customHeight="1">
      <x:c r="A366" s="60" t="str">
        <x:v>DOS-019</x:v>
      </x:c>
      <x:c r="B366" s="37" t="str">
        <x:v>AI Source-Material Repository</x:v>
      </x:c>
      <x:c r="C366" s="37" t="str">
        <x:v>FAM-37</x:v>
      </x:c>
      <x:c r="D366" s="37" t="str">
        <x:v>Gamification, challenges &amp; progression</x:v>
      </x:c>
      <x:c r="E366" s="37" t="str">
        <x:v>Expansion</x:v>
      </x:c>
      <x:c r="F366" s="37" t="str">
        <x:v>Flexible / later only</x:v>
      </x:c>
      <x:c r="G366" s="37" t="str">
        <x:v>AI Source-Material Repository: Challenges, points, levels, voting, collection, and progress systems.</x:v>
      </x:c>
      <x:c r="H366" s="38" t="str">
        <x:v>Creator profiles, verification, rankings, installs, paid assets.</x:v>
      </x:c>
    </x:row>
    <x:row r="367" ht="48" customHeight="1">
      <x:c r="A367" s="60" t="str">
        <x:v>DOS-020</x:v>
      </x:c>
      <x:c r="B367" s="37" t="str">
        <x:v>Census + Dossier Builder Advisor / Public Selector</x:v>
      </x:c>
      <x:c r="C367" s="37" t="str">
        <x:v>FAM-01</x:v>
      </x:c>
      <x:c r="D367" s="37" t="str">
        <x:v>Responsive web / PWA interface</x:v>
      </x:c>
      <x:c r="E367" s="37" t="str">
        <x:v>Must</x:v>
      </x:c>
      <x:c r="F367" s="37" t="str">
        <x:v>Strict-route gate</x:v>
      </x:c>
      <x:c r="G367" s="37" t="str">
        <x:v>Census + Dossier Builder Advisor / Public Selector: Mobile-first responsive screens and app-like web navigation.</x:v>
      </x:c>
      <x:c r="H367" s="38" t="str">
        <x:v>Project brief, requirement profile, strict/flexible routes, platform eligibility, rationale, manual result review.</x:v>
      </x:c>
    </x:row>
    <x:row r="368" ht="48" customHeight="1">
      <x:c r="A368" s="60" t="str">
        <x:v>DOS-020</x:v>
      </x:c>
      <x:c r="B368" s="37" t="str">
        <x:v>Census + Dossier Builder Advisor / Public Selector</x:v>
      </x:c>
      <x:c r="C368" s="37" t="str">
        <x:v>FAM-05</x:v>
      </x:c>
      <x:c r="D368" s="37" t="str">
        <x:v>Structured database &amp; persistent records</x:v>
      </x:c>
      <x:c r="E368" s="37" t="str">
        <x:v>Must</x:v>
      </x:c>
      <x:c r="F368" s="37" t="str">
        <x:v>Strict-route gate</x:v>
      </x:c>
      <x:c r="G368" s="37" t="str">
        <x:v>Census + Dossier Builder Advisor / Public Selector: Reliable structured data storage, retrieval, and updates.</x:v>
      </x:c>
      <x:c r="H368" s="38" t="str">
        <x:v>Project brief, requirement profile, strict/flexible routes, platform eligibility, rationale, manual result review.</x:v>
      </x:c>
    </x:row>
    <x:row r="369" ht="48" customHeight="1">
      <x:c r="A369" s="60" t="str">
        <x:v>DOS-020</x:v>
      </x:c>
      <x:c r="B369" s="37" t="str">
        <x:v>Census + Dossier Builder Advisor / Public Selector</x:v>
      </x:c>
      <x:c r="C369" s="37" t="str">
        <x:v>FAM-12</x:v>
      </x:c>
      <x:c r="D369" s="37" t="str">
        <x:v>AI text generation, analysis &amp; agents</x:v>
      </x:c>
      <x:c r="E369" s="37" t="str">
        <x:v>Must</x:v>
      </x:c>
      <x:c r="F369" s="37" t="str">
        <x:v>Strict-route gate</x:v>
      </x:c>
      <x:c r="G369" s="37" t="str">
        <x:v>Census + Dossier Builder Advisor / Public Selector: Prompted generation, classification, summarization, reasoning, or assistant behavior.</x:v>
      </x:c>
      <x:c r="H369" s="38" t="str">
        <x:v>Project brief, requirement profile, strict/flexible routes, platform eligibility, rationale, manual result review.</x:v>
      </x:c>
    </x:row>
    <x:row r="370" ht="48" customHeight="1">
      <x:c r="A370" s="60" t="str">
        <x:v>DOS-020</x:v>
      </x:c>
      <x:c r="B370" s="37" t="str">
        <x:v>Census + Dossier Builder Advisor / Public Selector</x:v>
      </x:c>
      <x:c r="C370" s="37" t="str">
        <x:v>FAM-23</x:v>
      </x:c>
      <x:c r="D370" s="37" t="str">
        <x:v>Public website, SEO &amp; domain control</x:v>
      </x:c>
      <x:c r="E370" s="37" t="str">
        <x:v>Must</x:v>
      </x:c>
      <x:c r="F370" s="37" t="str">
        <x:v>Strict-route gate</x:v>
      </x:c>
      <x:c r="G370" s="37" t="str">
        <x:v>Census + Dossier Builder Advisor / Public Selector: Public pages, discoverability, custom domain, shareability, and search metadata.</x:v>
      </x:c>
      <x:c r="H370" s="38" t="str">
        <x:v>Project brief, requirement profile, strict/flexible routes, platform eligibility, rationale, manual result review.</x:v>
      </x:c>
    </x:row>
    <x:row r="371" ht="48" customHeight="1">
      <x:c r="A371" s="60" t="str">
        <x:v>DOS-020</x:v>
      </x:c>
      <x:c r="B371" s="37" t="str">
        <x:v>Census + Dossier Builder Advisor / Public Selector</x:v>
      </x:c>
      <x:c r="C371" s="37" t="str">
        <x:v>FAM-24</x:v>
      </x:c>
      <x:c r="D371" s="37" t="str">
        <x:v>Export, publishing &amp; share routes</x:v>
      </x:c>
      <x:c r="E371" s="37" t="str">
        <x:v>Must</x:v>
      </x:c>
      <x:c r="F371" s="37" t="str">
        <x:v>Strict-route gate</x:v>
      </x:c>
      <x:c r="G371" s="37" t="str">
        <x:v>Census + Dossier Builder Advisor / Public Selector: Download/export, social publishing, share links, and portable output packages.</x:v>
      </x:c>
      <x:c r="H371" s="38" t="str">
        <x:v>Project brief, requirement profile, strict/flexible routes, platform eligibility, rationale, manual result review.</x:v>
      </x:c>
    </x:row>
    <x:row r="372" ht="48" customHeight="1">
      <x:c r="A372" s="60" t="str">
        <x:v>DOS-020</x:v>
      </x:c>
      <x:c r="B372" s="37" t="str">
        <x:v>Census + Dossier Builder Advisor / Public Selector</x:v>
      </x:c>
      <x:c r="C372" s="37" t="str">
        <x:v>FAM-27</x:v>
      </x:c>
      <x:c r="D372" s="37" t="str">
        <x:v>Portability, ownership &amp; escape path</x:v>
      </x:c>
      <x:c r="E372" s="37" t="str">
        <x:v>Must</x:v>
      </x:c>
      <x:c r="F372" s="37" t="str">
        <x:v>Strict-route gate</x:v>
      </x:c>
      <x:c r="G372" s="37" t="str">
        <x:v>Census + Dossier Builder Advisor / Public Selector: Code/data export, GitHub, custom domains, migration, and lock-in control.</x:v>
      </x:c>
      <x:c r="H372" s="38" t="str">
        <x:v>Project brief, requirement profile, strict/flexible routes, platform eligibility, rationale, manual result review.</x:v>
      </x:c>
    </x:row>
    <x:row r="373" ht="48" customHeight="1">
      <x:c r="A373" s="60" t="str">
        <x:v>DOS-020</x:v>
      </x:c>
      <x:c r="B373" s="37" t="str">
        <x:v>Census + Dossier Builder Advisor / Public Selector</x:v>
      </x:c>
      <x:c r="C373" s="37" t="str">
        <x:v>FAM-28</x:v>
      </x:c>
      <x:c r="D373" s="37" t="str">
        <x:v>Custom code &amp; extensibility</x:v>
      </x:c>
      <x:c r="E373" s="37" t="str">
        <x:v>Must</x:v>
      </x:c>
      <x:c r="F373" s="37" t="str">
        <x:v>Strict-route gate</x:v>
      </x:c>
      <x:c r="G373" s="37" t="str">
        <x:v>Census + Dossier Builder Advisor / Public Selector: Ability to add bespoke logic, components, SDKs, or developer assistance.</x:v>
      </x:c>
      <x:c r="H373" s="38" t="str">
        <x:v>Project brief, requirement profile, strict/flexible routes, platform eligibility, rationale, manual result review.</x:v>
      </x:c>
    </x:row>
    <x:row r="374" ht="48" customHeight="1">
      <x:c r="A374" s="60" t="str">
        <x:v>DOS-020</x:v>
      </x:c>
      <x:c r="B374" s="37" t="str">
        <x:v>Census + Dossier Builder Advisor / Public Selector</x:v>
      </x:c>
      <x:c r="C374" s="37" t="str">
        <x:v>FAM-02</x:v>
      </x:c>
      <x:c r="D374" s="37" t="str">
        <x:v>Android/mobile builder workability</x:v>
      </x:c>
      <x:c r="E374" s="37" t="str">
        <x:v>Important</x:v>
      </x:c>
      <x:c r="F374" s="37" t="str">
        <x:v>Score after gates</x:v>
      </x:c>
      <x:c r="G374" s="37" t="str">
        <x:v>Census + Dossier Builder Advisor / Public Selector: Derek can build, edit, preview, test, and deploy with reasonable Android/mobile friction.</x:v>
      </x:c>
      <x:c r="H374" s="38" t="str">
        <x:v>Use the personal spreadsheet engine first; defer public accounts, sponsorship, and automated research.</x:v>
      </x:c>
    </x:row>
    <x:row r="375" ht="48" customHeight="1">
      <x:c r="A375" s="60" t="str">
        <x:v>DOS-020</x:v>
      </x:c>
      <x:c r="B375" s="37" t="str">
        <x:v>Census + Dossier Builder Advisor / Public Selector</x:v>
      </x:c>
      <x:c r="C375" s="37" t="str">
        <x:v>FAM-03</x:v>
      </x:c>
      <x:c r="D375" s="37" t="str">
        <x:v>Authentication, identity &amp; roles</x:v>
      </x:c>
      <x:c r="E375" s="37" t="str">
        <x:v>Important</x:v>
      </x:c>
      <x:c r="F375" s="37" t="str">
        <x:v>Score after gates</x:v>
      </x:c>
      <x:c r="G375" s="37" t="str">
        <x:v>Census + Dossier Builder Advisor / Public Selector: Sign-in, role-aware access, member identity, and permissions.</x:v>
      </x:c>
      <x:c r="H375" s="38" t="str">
        <x:v>Use the personal spreadsheet engine first; defer public accounts, sponsorship, and automated research.</x:v>
      </x:c>
    </x:row>
    <x:row r="376" ht="48" customHeight="1">
      <x:c r="A376" s="60" t="str">
        <x:v>DOS-020</x:v>
      </x:c>
      <x:c r="B376" s="37" t="str">
        <x:v>Census + Dossier Builder Advisor / Public Selector</x:v>
      </x:c>
      <x:c r="C376" s="37" t="str">
        <x:v>FAM-13</x:v>
      </x:c>
      <x:c r="D376" s="37" t="str">
        <x:v>OCR &amp; structured extraction</x:v>
      </x:c>
      <x:c r="E376" s="37" t="str">
        <x:v>Important</x:v>
      </x:c>
      <x:c r="F376" s="37" t="str">
        <x:v>Score after gates</x:v>
      </x:c>
      <x:c r="G376" s="37" t="str">
        <x:v>Census + Dossier Builder Advisor / Public Selector: Extract fields from screenshots, documents, receipts, or messy content.</x:v>
      </x:c>
      <x:c r="H376" s="38" t="str">
        <x:v>Use the personal spreadsheet engine first; defer public accounts, sponsorship, and automated research.</x:v>
      </x:c>
    </x:row>
    <x:row r="377" ht="48" customHeight="1">
      <x:c r="A377" s="60" t="str">
        <x:v>DOS-020</x:v>
      </x:c>
      <x:c r="B377" s="37" t="str">
        <x:v>Census + Dossier Builder Advisor / Public Selector</x:v>
      </x:c>
      <x:c r="C377" s="37" t="str">
        <x:v>FAM-14</x:v>
      </x:c>
      <x:c r="D377" s="37" t="str">
        <x:v>Personalization, memory &amp; preferences</x:v>
      </x:c>
      <x:c r="E377" s="37" t="str">
        <x:v>Important</x:v>
      </x:c>
      <x:c r="F377" s="37" t="str">
        <x:v>Score after gates</x:v>
      </x:c>
      <x:c r="G377" s="37" t="str">
        <x:v>Census + Dossier Builder Advisor / Public Selector: Saved preferences, history, source memory, and adaptive outputs.</x:v>
      </x:c>
      <x:c r="H377" s="38" t="str">
        <x:v>Use the personal spreadsheet engine first; defer public accounts, sponsorship, and automated research.</x:v>
      </x:c>
    </x:row>
    <x:row r="378" ht="48" customHeight="1">
      <x:c r="A378" s="60" t="str">
        <x:v>DOS-020</x:v>
      </x:c>
      <x:c r="B378" s="37" t="str">
        <x:v>Census + Dossier Builder Advisor / Public Selector</x:v>
      </x:c>
      <x:c r="C378" s="37" t="str">
        <x:v>FAM-17</x:v>
      </x:c>
      <x:c r="D378" s="37" t="str">
        <x:v>Payments, subscriptions &amp; billing</x:v>
      </x:c>
      <x:c r="E378" s="37" t="str">
        <x:v>Important</x:v>
      </x:c>
      <x:c r="F378" s="37" t="str">
        <x:v>Score after gates</x:v>
      </x:c>
      <x:c r="G378" s="37" t="str">
        <x:v>Census + Dossier Builder Advisor / Public Selector: Payments, subscriptions, checkout, entitlements, and billing-aware workflows.</x:v>
      </x:c>
      <x:c r="H378" s="38" t="str">
        <x:v>Use the personal spreadsheet engine first; defer public accounts, sponsorship, and automated research.</x:v>
      </x:c>
    </x:row>
    <x:row r="379" ht="48" customHeight="1">
      <x:c r="A379" s="60" t="str">
        <x:v>DOS-020</x:v>
      </x:c>
      <x:c r="B379" s="37" t="str">
        <x:v>Census + Dossier Builder Advisor / Public Selector</x:v>
      </x:c>
      <x:c r="C379" s="37" t="str">
        <x:v>FAM-25</x:v>
      </x:c>
      <x:c r="D379" s="37" t="str">
        <x:v>Analytics, reporting &amp; decision dashboards</x:v>
      </x:c>
      <x:c r="E379" s="37" t="str">
        <x:v>Important</x:v>
      </x:c>
      <x:c r="F379" s="37" t="str">
        <x:v>Score after gates</x:v>
      </x:c>
      <x:c r="G379" s="37" t="str">
        <x:v>Census + Dossier Builder Advisor / Public Selector: Usage metrics, charts, rankings, reporting, and decision support.</x:v>
      </x:c>
      <x:c r="H379" s="38" t="str">
        <x:v>Use the personal spreadsheet engine first; defer public accounts, sponsorship, and automated research.</x:v>
      </x:c>
    </x:row>
    <x:row r="380" ht="48" customHeight="1">
      <x:c r="A380" s="60" t="str">
        <x:v>DOS-020</x:v>
      </x:c>
      <x:c r="B380" s="37" t="str">
        <x:v>Census + Dossier Builder Advisor / Public Selector</x:v>
      </x:c>
      <x:c r="C380" s="37" t="str">
        <x:v>FAM-29</x:v>
      </x:c>
      <x:c r="D380" s="37" t="str">
        <x:v>Backend functions, APIs &amp; background compute</x:v>
      </x:c>
      <x:c r="E380" s="37" t="str">
        <x:v>Important</x:v>
      </x:c>
      <x:c r="F380" s="37" t="str">
        <x:v>Score after gates</x:v>
      </x:c>
      <x:c r="G380" s="37" t="str">
        <x:v>Census + Dossier Builder Advisor / Public Selector: Server functions, secure APIs, logs, queues, scheduled tasks, and secrets.</x:v>
      </x:c>
      <x:c r="H380" s="38" t="str">
        <x:v>Use the personal spreadsheet engine first; defer public accounts, sponsorship, and automated research.</x:v>
      </x:c>
    </x:row>
    <x:row r="381" ht="48" customHeight="1">
      <x:c r="A381" s="60" t="str">
        <x:v>DOS-020</x:v>
      </x:c>
      <x:c r="B381" s="37" t="str">
        <x:v>Census + Dossier Builder Advisor / Public Selector</x:v>
      </x:c>
      <x:c r="C381" s="37" t="str">
        <x:v>FAM-35</x:v>
      </x:c>
      <x:c r="D381" s="37" t="str">
        <x:v>Privacy, consent &amp; audit trail</x:v>
      </x:c>
      <x:c r="E381" s="37" t="str">
        <x:v>Important</x:v>
      </x:c>
      <x:c r="F381" s="37" t="str">
        <x:v>Score after gates</x:v>
      </x:c>
      <x:c r="G381" s="37" t="str">
        <x:v>Census + Dossier Builder Advisor / Public Selector: Consent, retention, access controls, provenance, and auditable actions.</x:v>
      </x:c>
      <x:c r="H381" s="38" t="str">
        <x:v>Use the personal spreadsheet engine first; defer public accounts, sponsorship, and automated research.</x:v>
      </x:c>
    </x:row>
    <x:row r="382" ht="48" customHeight="1">
      <x:c r="A382" s="60" t="str">
        <x:v>DOS-020</x:v>
      </x:c>
      <x:c r="B382" s="37" t="str">
        <x:v>Census + Dossier Builder Advisor / Public Selector</x:v>
      </x:c>
      <x:c r="C382" s="37" t="str">
        <x:v>FAM-15</x:v>
      </x:c>
      <x:c r="D382" s="37" t="str">
        <x:v>Social, realtime &amp; collaboration</x:v>
      </x:c>
      <x:c r="E382" s="37" t="str">
        <x:v>Expansion</x:v>
      </x:c>
      <x:c r="F382" s="37" t="str">
        <x:v>Flexible / later only</x:v>
      </x:c>
      <x:c r="G382" s="37" t="str">
        <x:v>Census + Dossier Builder Advisor / Public Selector: Feeds, messaging, groups, sharing, realtime updates, or multi-user creation.</x:v>
      </x:c>
      <x:c r="H382" s="38" t="str">
        <x:v>Public founder selector, personalized AI interview, paid reports, sponsor-safe eligibility.</x:v>
      </x:c>
    </x:row>
    <x:row r="383" ht="48" customHeight="1">
      <x:c r="A383" s="60" t="str">
        <x:v>DOS-020</x:v>
      </x:c>
      <x:c r="B383" s="37" t="str">
        <x:v>Census + Dossier Builder Advisor / Public Selector</x:v>
      </x:c>
      <x:c r="C383" s="37" t="str">
        <x:v>FAM-20</x:v>
      </x:c>
      <x:c r="D383" s="37" t="str">
        <x:v>Notifications, reminders &amp; deadlines</x:v>
      </x:c>
      <x:c r="E383" s="37" t="str">
        <x:v>Expansion</x:v>
      </x:c>
      <x:c r="F383" s="37" t="str">
        <x:v>Flexible / later only</x:v>
      </x:c>
      <x:c r="G383" s="37" t="str">
        <x:v>Census + Dossier Builder Advisor / Public Selector: Push/email/in-app reminders, scheduled tasks, and time-bound flows.</x:v>
      </x:c>
      <x:c r="H383" s="38" t="str">
        <x:v>Public founder selector, personalized AI interview, paid reports, sponsor-safe eligibility.</x:v>
      </x:c>
    </x:row>
    <x:row r="384" ht="48" customHeight="1">
      <x:c r="A384" s="60" t="str">
        <x:v>DOS-020</x:v>
      </x:c>
      <x:c r="B384" s="37" t="str">
        <x:v>Census + Dossier Builder Advisor / Public Selector</x:v>
      </x:c>
      <x:c r="C384" s="37" t="str">
        <x:v>FAM-32</x:v>
      </x:c>
      <x:c r="D384" s="37" t="str">
        <x:v>Marketplace, templates &amp; creator assets</x:v>
      </x:c>
      <x:c r="E384" s="37" t="str">
        <x:v>Expansion</x:v>
      </x:c>
      <x:c r="F384" s="37" t="str">
        <x:v>Flexible / later only</x:v>
      </x:c>
      <x:c r="G384" s="37" t="str">
        <x:v>Census + Dossier Builder Advisor / Public Selector: Listings, reusable assets, creator publishing, reviews, and marketplace rules.</x:v>
      </x:c>
      <x:c r="H384" s="38" t="str">
        <x:v>Public founder selector, personalized AI interview, paid reports, sponsor-safe eligibility.</x:v>
      </x:c>
    </x:row>
    <x:row r="385" ht="48" customHeight="1">
      <x:c r="A385" s="60" t="str">
        <x:v>DOS-020</x:v>
      </x:c>
      <x:c r="B385" s="37" t="str">
        <x:v>Census + Dossier Builder Advisor / Public Selector</x:v>
      </x:c>
      <x:c r="C385" s="37" t="str">
        <x:v>FAM-36</x:v>
      </x:c>
      <x:c r="D385" s="37" t="str">
        <x:v>Scoring, ranking &amp; matching logic</x:v>
      </x:c>
      <x:c r="E385" s="37" t="str">
        <x:v>Expansion</x:v>
      </x:c>
      <x:c r="F385" s="37" t="str">
        <x:v>Flexible / later only</x:v>
      </x:c>
      <x:c r="G385" s="37" t="str">
        <x:v>Census + Dossier Builder Advisor / Public Selector: Transparent scorecards, requirements matching, routes, and tie-break explanations.</x:v>
      </x:c>
      <x:c r="H385" s="38" t="str">
        <x:v>Public founder selector, personalized AI interview, paid reports, sponsor-safe eligibility.</x:v>
      </x:c>
    </x:row>
    <x:row r="386" ht="48" customHeight="1">
      <x:c r="A386" s="60" t="str">
        <x:v>DOS-021</x:v>
      </x:c>
      <x:c r="B386" s="37" t="str">
        <x:v>AI Supplement</x:v>
      </x:c>
      <x:c r="C386" s="37" t="str">
        <x:v>FAM-01</x:v>
      </x:c>
      <x:c r="D386" s="37" t="str">
        <x:v>Responsive web / PWA interface</x:v>
      </x:c>
      <x:c r="E386" s="37" t="str">
        <x:v>Must</x:v>
      </x:c>
      <x:c r="F386" s="37" t="str">
        <x:v>Strict-route gate</x:v>
      </x:c>
      <x:c r="G386" s="37" t="str">
        <x:v>AI Supplement: Mobile-first responsive screens and app-like web navigation.</x:v>
      </x:c>
      <x:c r="H386" s="38" t="str">
        <x:v>Curated tool cards, explainers, comparison pages, saved stack, quick prompts, mobile companion surface.</x:v>
      </x:c>
    </x:row>
    <x:row r="387" ht="48" customHeight="1">
      <x:c r="A387" s="60" t="str">
        <x:v>DOS-021</x:v>
      </x:c>
      <x:c r="B387" s="37" t="str">
        <x:v>AI Supplement</x:v>
      </x:c>
      <x:c r="C387" s="37" t="str">
        <x:v>FAM-05</x:v>
      </x:c>
      <x:c r="D387" s="37" t="str">
        <x:v>Structured database &amp; persistent records</x:v>
      </x:c>
      <x:c r="E387" s="37" t="str">
        <x:v>Must</x:v>
      </x:c>
      <x:c r="F387" s="37" t="str">
        <x:v>Strict-route gate</x:v>
      </x:c>
      <x:c r="G387" s="37" t="str">
        <x:v>AI Supplement: Reliable structured data storage, retrieval, and updates.</x:v>
      </x:c>
      <x:c r="H387" s="38" t="str">
        <x:v>Curated tool cards, explainers, comparison pages, saved stack, quick prompts, mobile companion surface.</x:v>
      </x:c>
    </x:row>
    <x:row r="388" ht="48" customHeight="1">
      <x:c r="A388" s="60" t="str">
        <x:v>DOS-021</x:v>
      </x:c>
      <x:c r="B388" s="37" t="str">
        <x:v>AI Supplement</x:v>
      </x:c>
      <x:c r="C388" s="37" t="str">
        <x:v>FAM-12</x:v>
      </x:c>
      <x:c r="D388" s="37" t="str">
        <x:v>AI text generation, analysis &amp; agents</x:v>
      </x:c>
      <x:c r="E388" s="37" t="str">
        <x:v>Must</x:v>
      </x:c>
      <x:c r="F388" s="37" t="str">
        <x:v>Strict-route gate</x:v>
      </x:c>
      <x:c r="G388" s="37" t="str">
        <x:v>AI Supplement: Prompted generation, classification, summarization, reasoning, or assistant behavior.</x:v>
      </x:c>
      <x:c r="H388" s="38" t="str">
        <x:v>Curated tool cards, explainers, comparison pages, saved stack, quick prompts, mobile companion surface.</x:v>
      </x:c>
    </x:row>
    <x:row r="389" ht="48" customHeight="1">
      <x:c r="A389" s="60" t="str">
        <x:v>DOS-021</x:v>
      </x:c>
      <x:c r="B389" s="37" t="str">
        <x:v>AI Supplement</x:v>
      </x:c>
      <x:c r="C389" s="37" t="str">
        <x:v>FAM-23</x:v>
      </x:c>
      <x:c r="D389" s="37" t="str">
        <x:v>Public website, SEO &amp; domain control</x:v>
      </x:c>
      <x:c r="E389" s="37" t="str">
        <x:v>Must</x:v>
      </x:c>
      <x:c r="F389" s="37" t="str">
        <x:v>Strict-route gate</x:v>
      </x:c>
      <x:c r="G389" s="37" t="str">
        <x:v>AI Supplement: Public pages, discoverability, custom domain, shareability, and search metadata.</x:v>
      </x:c>
      <x:c r="H389" s="38" t="str">
        <x:v>Curated tool cards, explainers, comparison pages, saved stack, quick prompts, mobile companion surface.</x:v>
      </x:c>
    </x:row>
    <x:row r="390" ht="48" customHeight="1">
      <x:c r="A390" s="60" t="str">
        <x:v>DOS-021</x:v>
      </x:c>
      <x:c r="B390" s="37" t="str">
        <x:v>AI Supplement</x:v>
      </x:c>
      <x:c r="C390" s="37" t="str">
        <x:v>FAM-24</x:v>
      </x:c>
      <x:c r="D390" s="37" t="str">
        <x:v>Export, publishing &amp; share routes</x:v>
      </x:c>
      <x:c r="E390" s="37" t="str">
        <x:v>Must</x:v>
      </x:c>
      <x:c r="F390" s="37" t="str">
        <x:v>Strict-route gate</x:v>
      </x:c>
      <x:c r="G390" s="37" t="str">
        <x:v>AI Supplement: Download/export, social publishing, share links, and portable output packages.</x:v>
      </x:c>
      <x:c r="H390" s="38" t="str">
        <x:v>Curated tool cards, explainers, comparison pages, saved stack, quick prompts, mobile companion surface.</x:v>
      </x:c>
    </x:row>
    <x:row r="391" ht="48" customHeight="1">
      <x:c r="A391" s="60" t="str">
        <x:v>DOS-021</x:v>
      </x:c>
      <x:c r="B391" s="37" t="str">
        <x:v>AI Supplement</x:v>
      </x:c>
      <x:c r="C391" s="37" t="str">
        <x:v>FAM-27</x:v>
      </x:c>
      <x:c r="D391" s="37" t="str">
        <x:v>Portability, ownership &amp; escape path</x:v>
      </x:c>
      <x:c r="E391" s="37" t="str">
        <x:v>Must</x:v>
      </x:c>
      <x:c r="F391" s="37" t="str">
        <x:v>Strict-route gate</x:v>
      </x:c>
      <x:c r="G391" s="37" t="str">
        <x:v>AI Supplement: Code/data export, GitHub, custom domains, migration, and lock-in control.</x:v>
      </x:c>
      <x:c r="H391" s="38" t="str">
        <x:v>Curated tool cards, explainers, comparison pages, saved stack, quick prompts, mobile companion surface.</x:v>
      </x:c>
    </x:row>
    <x:row r="392" ht="48" customHeight="1">
      <x:c r="A392" s="60" t="str">
        <x:v>DOS-021</x:v>
      </x:c>
      <x:c r="B392" s="37" t="str">
        <x:v>AI Supplement</x:v>
      </x:c>
      <x:c r="C392" s="37" t="str">
        <x:v>FAM-28</x:v>
      </x:c>
      <x:c r="D392" s="37" t="str">
        <x:v>Custom code &amp; extensibility</x:v>
      </x:c>
      <x:c r="E392" s="37" t="str">
        <x:v>Must</x:v>
      </x:c>
      <x:c r="F392" s="37" t="str">
        <x:v>Strict-route gate</x:v>
      </x:c>
      <x:c r="G392" s="37" t="str">
        <x:v>AI Supplement: Ability to add bespoke logic, components, SDKs, or developer assistance.</x:v>
      </x:c>
      <x:c r="H392" s="38" t="str">
        <x:v>Curated tool cards, explainers, comparison pages, saved stack, quick prompts, mobile companion surface.</x:v>
      </x:c>
    </x:row>
    <x:row r="393" ht="48" customHeight="1">
      <x:c r="A393" s="60" t="str">
        <x:v>DOS-021</x:v>
      </x:c>
      <x:c r="B393" s="37" t="str">
        <x:v>AI Supplement</x:v>
      </x:c>
      <x:c r="C393" s="37" t="str">
        <x:v>FAM-02</x:v>
      </x:c>
      <x:c r="D393" s="37" t="str">
        <x:v>Android/mobile builder workability</x:v>
      </x:c>
      <x:c r="E393" s="37" t="str">
        <x:v>Important</x:v>
      </x:c>
      <x:c r="F393" s="37" t="str">
        <x:v>Score after gates</x:v>
      </x:c>
      <x:c r="G393" s="37" t="str">
        <x:v>AI Supplement: Derek can build, edit, preview, test, and deploy with reasonable Android/mobile friction.</x:v>
      </x:c>
      <x:c r="H393" s="38" t="str">
        <x:v>Start as a searchable guide; defer deep agent integration.</x:v>
      </x:c>
    </x:row>
    <x:row r="394" ht="48" customHeight="1">
      <x:c r="A394" s="60" t="str">
        <x:v>DOS-021</x:v>
      </x:c>
      <x:c r="B394" s="37" t="str">
        <x:v>AI Supplement</x:v>
      </x:c>
      <x:c r="C394" s="37" t="str">
        <x:v>FAM-03</x:v>
      </x:c>
      <x:c r="D394" s="37" t="str">
        <x:v>Authentication, identity &amp; roles</x:v>
      </x:c>
      <x:c r="E394" s="37" t="str">
        <x:v>Important</x:v>
      </x:c>
      <x:c r="F394" s="37" t="str">
        <x:v>Score after gates</x:v>
      </x:c>
      <x:c r="G394" s="37" t="str">
        <x:v>AI Supplement: Sign-in, role-aware access, member identity, and permissions.</x:v>
      </x:c>
      <x:c r="H394" s="38" t="str">
        <x:v>Start as a searchable guide; defer deep agent integration.</x:v>
      </x:c>
    </x:row>
    <x:row r="395" ht="48" customHeight="1">
      <x:c r="A395" s="60" t="str">
        <x:v>DOS-021</x:v>
      </x:c>
      <x:c r="B395" s="37" t="str">
        <x:v>AI Supplement</x:v>
      </x:c>
      <x:c r="C395" s="37" t="str">
        <x:v>FAM-13</x:v>
      </x:c>
      <x:c r="D395" s="37" t="str">
        <x:v>OCR &amp; structured extraction</x:v>
      </x:c>
      <x:c r="E395" s="37" t="str">
        <x:v>Important</x:v>
      </x:c>
      <x:c r="F395" s="37" t="str">
        <x:v>Score after gates</x:v>
      </x:c>
      <x:c r="G395" s="37" t="str">
        <x:v>AI Supplement: Extract fields from screenshots, documents, receipts, or messy content.</x:v>
      </x:c>
      <x:c r="H395" s="38" t="str">
        <x:v>Start as a searchable guide; defer deep agent integration.</x:v>
      </x:c>
    </x:row>
    <x:row r="396" ht="48" customHeight="1">
      <x:c r="A396" s="60" t="str">
        <x:v>DOS-021</x:v>
      </x:c>
      <x:c r="B396" s="37" t="str">
        <x:v>AI Supplement</x:v>
      </x:c>
      <x:c r="C396" s="37" t="str">
        <x:v>FAM-14</x:v>
      </x:c>
      <x:c r="D396" s="37" t="str">
        <x:v>Personalization, memory &amp; preferences</x:v>
      </x:c>
      <x:c r="E396" s="37" t="str">
        <x:v>Important</x:v>
      </x:c>
      <x:c r="F396" s="37" t="str">
        <x:v>Score after gates</x:v>
      </x:c>
      <x:c r="G396" s="37" t="str">
        <x:v>AI Supplement: Saved preferences, history, source memory, and adaptive outputs.</x:v>
      </x:c>
      <x:c r="H396" s="38" t="str">
        <x:v>Start as a searchable guide; defer deep agent integration.</x:v>
      </x:c>
    </x:row>
    <x:row r="397" ht="48" customHeight="1">
      <x:c r="A397" s="60" t="str">
        <x:v>DOS-021</x:v>
      </x:c>
      <x:c r="B397" s="37" t="str">
        <x:v>AI Supplement</x:v>
      </x:c>
      <x:c r="C397" s="37" t="str">
        <x:v>FAM-17</x:v>
      </x:c>
      <x:c r="D397" s="37" t="str">
        <x:v>Payments, subscriptions &amp; billing</x:v>
      </x:c>
      <x:c r="E397" s="37" t="str">
        <x:v>Important</x:v>
      </x:c>
      <x:c r="F397" s="37" t="str">
        <x:v>Score after gates</x:v>
      </x:c>
      <x:c r="G397" s="37" t="str">
        <x:v>AI Supplement: Payments, subscriptions, checkout, entitlements, and billing-aware workflows.</x:v>
      </x:c>
      <x:c r="H397" s="38" t="str">
        <x:v>Start as a searchable guide; defer deep agent integration.</x:v>
      </x:c>
    </x:row>
    <x:row r="398" ht="48" customHeight="1">
      <x:c r="A398" s="60" t="str">
        <x:v>DOS-021</x:v>
      </x:c>
      <x:c r="B398" s="37" t="str">
        <x:v>AI Supplement</x:v>
      </x:c>
      <x:c r="C398" s="37" t="str">
        <x:v>FAM-25</x:v>
      </x:c>
      <x:c r="D398" s="37" t="str">
        <x:v>Analytics, reporting &amp; decision dashboards</x:v>
      </x:c>
      <x:c r="E398" s="37" t="str">
        <x:v>Important</x:v>
      </x:c>
      <x:c r="F398" s="37" t="str">
        <x:v>Score after gates</x:v>
      </x:c>
      <x:c r="G398" s="37" t="str">
        <x:v>AI Supplement: Usage metrics, charts, rankings, reporting, and decision support.</x:v>
      </x:c>
      <x:c r="H398" s="38" t="str">
        <x:v>Start as a searchable guide; defer deep agent integration.</x:v>
      </x:c>
    </x:row>
    <x:row r="399" ht="48" customHeight="1">
      <x:c r="A399" s="60" t="str">
        <x:v>DOS-021</x:v>
      </x:c>
      <x:c r="B399" s="37" t="str">
        <x:v>AI Supplement</x:v>
      </x:c>
      <x:c r="C399" s="37" t="str">
        <x:v>FAM-29</x:v>
      </x:c>
      <x:c r="D399" s="37" t="str">
        <x:v>Backend functions, APIs &amp; background compute</x:v>
      </x:c>
      <x:c r="E399" s="37" t="str">
        <x:v>Important</x:v>
      </x:c>
      <x:c r="F399" s="37" t="str">
        <x:v>Score after gates</x:v>
      </x:c>
      <x:c r="G399" s="37" t="str">
        <x:v>AI Supplement: Server functions, secure APIs, logs, queues, scheduled tasks, and secrets.</x:v>
      </x:c>
      <x:c r="H399" s="38" t="str">
        <x:v>Start as a searchable guide; defer deep agent integration.</x:v>
      </x:c>
    </x:row>
    <x:row r="400" ht="48" customHeight="1">
      <x:c r="A400" s="60" t="str">
        <x:v>DOS-021</x:v>
      </x:c>
      <x:c r="B400" s="37" t="str">
        <x:v>AI Supplement</x:v>
      </x:c>
      <x:c r="C400" s="37" t="str">
        <x:v>FAM-35</x:v>
      </x:c>
      <x:c r="D400" s="37" t="str">
        <x:v>Privacy, consent &amp; audit trail</x:v>
      </x:c>
      <x:c r="E400" s="37" t="str">
        <x:v>Important</x:v>
      </x:c>
      <x:c r="F400" s="37" t="str">
        <x:v>Score after gates</x:v>
      </x:c>
      <x:c r="G400" s="37" t="str">
        <x:v>AI Supplement: Consent, retention, access controls, provenance, and auditable actions.</x:v>
      </x:c>
      <x:c r="H400" s="38" t="str">
        <x:v>Start as a searchable guide; defer deep agent integration.</x:v>
      </x:c>
    </x:row>
    <x:row r="401" ht="48" customHeight="1">
      <x:c r="A401" s="60" t="str">
        <x:v>DOS-021</x:v>
      </x:c>
      <x:c r="B401" s="37" t="str">
        <x:v>AI Supplement</x:v>
      </x:c>
      <x:c r="C401" s="37" t="str">
        <x:v>FAM-15</x:v>
      </x:c>
      <x:c r="D401" s="37" t="str">
        <x:v>Social, realtime &amp; collaboration</x:v>
      </x:c>
      <x:c r="E401" s="37" t="str">
        <x:v>Expansion</x:v>
      </x:c>
      <x:c r="F401" s="37" t="str">
        <x:v>Flexible / later only</x:v>
      </x:c>
      <x:c r="G401" s="37" t="str">
        <x:v>AI Supplement: Feeds, messaging, groups, sharing, realtime updates, or multi-user creation.</x:v>
      </x:c>
      <x:c r="H401" s="38" t="str">
        <x:v>Split-screen overlay tools, personalized routing, learning paths.</x:v>
      </x:c>
    </x:row>
    <x:row r="402" ht="48" customHeight="1">
      <x:c r="A402" s="60" t="str">
        <x:v>DOS-021</x:v>
      </x:c>
      <x:c r="B402" s="37" t="str">
        <x:v>AI Supplement</x:v>
      </x:c>
      <x:c r="C402" s="37" t="str">
        <x:v>FAM-20</x:v>
      </x:c>
      <x:c r="D402" s="37" t="str">
        <x:v>Notifications, reminders &amp; deadlines</x:v>
      </x:c>
      <x:c r="E402" s="37" t="str">
        <x:v>Expansion</x:v>
      </x:c>
      <x:c r="F402" s="37" t="str">
        <x:v>Flexible / later only</x:v>
      </x:c>
      <x:c r="G402" s="37" t="str">
        <x:v>AI Supplement: Push/email/in-app reminders, scheduled tasks, and time-bound flows.</x:v>
      </x:c>
      <x:c r="H402" s="38" t="str">
        <x:v>Split-screen overlay tools, personalized routing, learning paths.</x:v>
      </x:c>
    </x:row>
    <x:row r="403" ht="48" customHeight="1">
      <x:c r="A403" s="60" t="str">
        <x:v>DOS-021</x:v>
      </x:c>
      <x:c r="B403" s="37" t="str">
        <x:v>AI Supplement</x:v>
      </x:c>
      <x:c r="C403" s="37" t="str">
        <x:v>FAM-32</x:v>
      </x:c>
      <x:c r="D403" s="37" t="str">
        <x:v>Marketplace, templates &amp; creator assets</x:v>
      </x:c>
      <x:c r="E403" s="37" t="str">
        <x:v>Expansion</x:v>
      </x:c>
      <x:c r="F403" s="37" t="str">
        <x:v>Flexible / later only</x:v>
      </x:c>
      <x:c r="G403" s="37" t="str">
        <x:v>AI Supplement: Listings, reusable assets, creator publishing, reviews, and marketplace rules.</x:v>
      </x:c>
      <x:c r="H403" s="38" t="str">
        <x:v>Split-screen overlay tools, personalized routing, learning paths.</x:v>
      </x:c>
    </x:row>
    <x:row r="404" ht="48" customHeight="1">
      <x:c r="A404" s="60" t="str">
        <x:v>DOS-021</x:v>
      </x:c>
      <x:c r="B404" s="37" t="str">
        <x:v>AI Supplement</x:v>
      </x:c>
      <x:c r="C404" s="37" t="str">
        <x:v>FAM-36</x:v>
      </x:c>
      <x:c r="D404" s="37" t="str">
        <x:v>Scoring, ranking &amp; matching logic</x:v>
      </x:c>
      <x:c r="E404" s="37" t="str">
        <x:v>Expansion</x:v>
      </x:c>
      <x:c r="F404" s="37" t="str">
        <x:v>Flexible / later only</x:v>
      </x:c>
      <x:c r="G404" s="37" t="str">
        <x:v>AI Supplement: Transparent scorecards, requirements matching, routes, and tie-break explanations.</x:v>
      </x:c>
      <x:c r="H404" s="38" t="str">
        <x:v>Split-screen overlay tools, personalized routing, learning paths.</x:v>
      </x:c>
    </x:row>
    <x:row r="405" ht="48" customHeight="1">
      <x:c r="A405" s="60" t="str">
        <x:v>DOS-022</x:v>
      </x:c>
      <x:c r="B405" s="37" t="str">
        <x:v>Personal AI Partner / SelfOS</x:v>
      </x:c>
      <x:c r="C405" s="37" t="str">
        <x:v>FAM-01</x:v>
      </x:c>
      <x:c r="D405" s="37" t="str">
        <x:v>Responsive web / PWA interface</x:v>
      </x:c>
      <x:c r="E405" s="37" t="str">
        <x:v>Must</x:v>
      </x:c>
      <x:c r="F405" s="37" t="str">
        <x:v>Strict-route gate</x:v>
      </x:c>
      <x:c r="G405" s="37" t="str">
        <x:v>Personal AI Partner / SelfOS: Mobile-first responsive screens and app-like web navigation.</x:v>
      </x:c>
      <x:c r="H405" s="38" t="str">
        <x:v>Private interview intake, consented memory model, reflective chat, user-controlled export/delete, grounded advice boundaries.</x:v>
      </x:c>
    </x:row>
    <x:row r="406" ht="48" customHeight="1">
      <x:c r="A406" s="60" t="str">
        <x:v>DOS-022</x:v>
      </x:c>
      <x:c r="B406" s="37" t="str">
        <x:v>Personal AI Partner / SelfOS</x:v>
      </x:c>
      <x:c r="C406" s="37" t="str">
        <x:v>FAM-05</x:v>
      </x:c>
      <x:c r="D406" s="37" t="str">
        <x:v>Structured database &amp; persistent records</x:v>
      </x:c>
      <x:c r="E406" s="37" t="str">
        <x:v>Must</x:v>
      </x:c>
      <x:c r="F406" s="37" t="str">
        <x:v>Strict-route gate</x:v>
      </x:c>
      <x:c r="G406" s="37" t="str">
        <x:v>Personal AI Partner / SelfOS: Reliable structured data storage, retrieval, and updates.</x:v>
      </x:c>
      <x:c r="H406" s="38" t="str">
        <x:v>Private interview intake, consented memory model, reflective chat, user-controlled export/delete, grounded advice boundaries.</x:v>
      </x:c>
    </x:row>
    <x:row r="407" ht="48" customHeight="1">
      <x:c r="A407" s="60" t="str">
        <x:v>DOS-022</x:v>
      </x:c>
      <x:c r="B407" s="37" t="str">
        <x:v>Personal AI Partner / SelfOS</x:v>
      </x:c>
      <x:c r="C407" s="37" t="str">
        <x:v>FAM-12</x:v>
      </x:c>
      <x:c r="D407" s="37" t="str">
        <x:v>AI text generation, analysis &amp; agents</x:v>
      </x:c>
      <x:c r="E407" s="37" t="str">
        <x:v>Must</x:v>
      </x:c>
      <x:c r="F407" s="37" t="str">
        <x:v>Strict-route gate</x:v>
      </x:c>
      <x:c r="G407" s="37" t="str">
        <x:v>Personal AI Partner / SelfOS: Prompted generation, classification, summarization, reasoning, or assistant behavior.</x:v>
      </x:c>
      <x:c r="H407" s="38" t="str">
        <x:v>Private interview intake, consented memory model, reflective chat, user-controlled export/delete, grounded advice boundaries.</x:v>
      </x:c>
    </x:row>
    <x:row r="408" ht="48" customHeight="1">
      <x:c r="A408" s="60" t="str">
        <x:v>DOS-022</x:v>
      </x:c>
      <x:c r="B408" s="37" t="str">
        <x:v>Personal AI Partner / SelfOS</x:v>
      </x:c>
      <x:c r="C408" s="37" t="str">
        <x:v>FAM-23</x:v>
      </x:c>
      <x:c r="D408" s="37" t="str">
        <x:v>Public website, SEO &amp; domain control</x:v>
      </x:c>
      <x:c r="E408" s="37" t="str">
        <x:v>Must</x:v>
      </x:c>
      <x:c r="F408" s="37" t="str">
        <x:v>Strict-route gate</x:v>
      </x:c>
      <x:c r="G408" s="37" t="str">
        <x:v>Personal AI Partner / SelfOS: Public pages, discoverability, custom domain, shareability, and search metadata.</x:v>
      </x:c>
      <x:c r="H408" s="38" t="str">
        <x:v>Private interview intake, consented memory model, reflective chat, user-controlled export/delete, grounded advice boundaries.</x:v>
      </x:c>
    </x:row>
    <x:row r="409" ht="48" customHeight="1">
      <x:c r="A409" s="60" t="str">
        <x:v>DOS-022</x:v>
      </x:c>
      <x:c r="B409" s="37" t="str">
        <x:v>Personal AI Partner / SelfOS</x:v>
      </x:c>
      <x:c r="C409" s="37" t="str">
        <x:v>FAM-24</x:v>
      </x:c>
      <x:c r="D409" s="37" t="str">
        <x:v>Export, publishing &amp; share routes</x:v>
      </x:c>
      <x:c r="E409" s="37" t="str">
        <x:v>Must</x:v>
      </x:c>
      <x:c r="F409" s="37" t="str">
        <x:v>Strict-route gate</x:v>
      </x:c>
      <x:c r="G409" s="37" t="str">
        <x:v>Personal AI Partner / SelfOS: Download/export, social publishing, share links, and portable output packages.</x:v>
      </x:c>
      <x:c r="H409" s="38" t="str">
        <x:v>Private interview intake, consented memory model, reflective chat, user-controlled export/delete, grounded advice boundaries.</x:v>
      </x:c>
    </x:row>
    <x:row r="410" ht="48" customHeight="1">
      <x:c r="A410" s="60" t="str">
        <x:v>DOS-022</x:v>
      </x:c>
      <x:c r="B410" s="37" t="str">
        <x:v>Personal AI Partner / SelfOS</x:v>
      </x:c>
      <x:c r="C410" s="37" t="str">
        <x:v>FAM-27</x:v>
      </x:c>
      <x:c r="D410" s="37" t="str">
        <x:v>Portability, ownership &amp; escape path</x:v>
      </x:c>
      <x:c r="E410" s="37" t="str">
        <x:v>Must</x:v>
      </x:c>
      <x:c r="F410" s="37" t="str">
        <x:v>Strict-route gate</x:v>
      </x:c>
      <x:c r="G410" s="37" t="str">
        <x:v>Personal AI Partner / SelfOS: Code/data export, GitHub, custom domains, migration, and lock-in control.</x:v>
      </x:c>
      <x:c r="H410" s="38" t="str">
        <x:v>Private interview intake, consented memory model, reflective chat, user-controlled export/delete, grounded advice boundaries.</x:v>
      </x:c>
    </x:row>
    <x:row r="411" ht="48" customHeight="1">
      <x:c r="A411" s="60" t="str">
        <x:v>DOS-022</x:v>
      </x:c>
      <x:c r="B411" s="37" t="str">
        <x:v>Personal AI Partner / SelfOS</x:v>
      </x:c>
      <x:c r="C411" s="37" t="str">
        <x:v>FAM-28</x:v>
      </x:c>
      <x:c r="D411" s="37" t="str">
        <x:v>Custom code &amp; extensibility</x:v>
      </x:c>
      <x:c r="E411" s="37" t="str">
        <x:v>Must</x:v>
      </x:c>
      <x:c r="F411" s="37" t="str">
        <x:v>Strict-route gate</x:v>
      </x:c>
      <x:c r="G411" s="37" t="str">
        <x:v>Personal AI Partner / SelfOS: Ability to add bespoke logic, components, SDKs, or developer assistance.</x:v>
      </x:c>
      <x:c r="H411" s="38" t="str">
        <x:v>Private interview intake, consented memory model, reflective chat, user-controlled export/delete, grounded advice boundaries.</x:v>
      </x:c>
    </x:row>
    <x:row r="412" ht="48" customHeight="1">
      <x:c r="A412" s="60" t="str">
        <x:v>DOS-022</x:v>
      </x:c>
      <x:c r="B412" s="37" t="str">
        <x:v>Personal AI Partner / SelfOS</x:v>
      </x:c>
      <x:c r="C412" s="37" t="str">
        <x:v>FAM-02</x:v>
      </x:c>
      <x:c r="D412" s="37" t="str">
        <x:v>Android/mobile builder workability</x:v>
      </x:c>
      <x:c r="E412" s="37" t="str">
        <x:v>Important</x:v>
      </x:c>
      <x:c r="F412" s="37" t="str">
        <x:v>Score after gates</x:v>
      </x:c>
      <x:c r="G412" s="37" t="str">
        <x:v>Personal AI Partner / SelfOS: Derek can build, edit, preview, test, and deploy with reasonable Android/mobile friction.</x:v>
      </x:c>
      <x:c r="H412" s="38" t="str">
        <x:v>Start with a scoped journal/interview companion; defer autonomous agent and broad life OS.</x:v>
      </x:c>
    </x:row>
    <x:row r="413" ht="48" customHeight="1">
      <x:c r="A413" s="60" t="str">
        <x:v>DOS-022</x:v>
      </x:c>
      <x:c r="B413" s="37" t="str">
        <x:v>Personal AI Partner / SelfOS</x:v>
      </x:c>
      <x:c r="C413" s="37" t="str">
        <x:v>FAM-03</x:v>
      </x:c>
      <x:c r="D413" s="37" t="str">
        <x:v>Authentication, identity &amp; roles</x:v>
      </x:c>
      <x:c r="E413" s="37" t="str">
        <x:v>Important</x:v>
      </x:c>
      <x:c r="F413" s="37" t="str">
        <x:v>Score after gates</x:v>
      </x:c>
      <x:c r="G413" s="37" t="str">
        <x:v>Personal AI Partner / SelfOS: Sign-in, role-aware access, member identity, and permissions.</x:v>
      </x:c>
      <x:c r="H413" s="38" t="str">
        <x:v>Start with a scoped journal/interview companion; defer autonomous agent and broad life OS.</x:v>
      </x:c>
    </x:row>
    <x:row r="414" ht="48" customHeight="1">
      <x:c r="A414" s="60" t="str">
        <x:v>DOS-022</x:v>
      </x:c>
      <x:c r="B414" s="37" t="str">
        <x:v>Personal AI Partner / SelfOS</x:v>
      </x:c>
      <x:c r="C414" s="37" t="str">
        <x:v>FAM-13</x:v>
      </x:c>
      <x:c r="D414" s="37" t="str">
        <x:v>OCR &amp; structured extraction</x:v>
      </x:c>
      <x:c r="E414" s="37" t="str">
        <x:v>Important</x:v>
      </x:c>
      <x:c r="F414" s="37" t="str">
        <x:v>Score after gates</x:v>
      </x:c>
      <x:c r="G414" s="37" t="str">
        <x:v>Personal AI Partner / SelfOS: Extract fields from screenshots, documents, receipts, or messy content.</x:v>
      </x:c>
      <x:c r="H414" s="38" t="str">
        <x:v>Start with a scoped journal/interview companion; defer autonomous agent and broad life OS.</x:v>
      </x:c>
    </x:row>
    <x:row r="415" ht="48" customHeight="1">
      <x:c r="A415" s="60" t="str">
        <x:v>DOS-022</x:v>
      </x:c>
      <x:c r="B415" s="37" t="str">
        <x:v>Personal AI Partner / SelfOS</x:v>
      </x:c>
      <x:c r="C415" s="37" t="str">
        <x:v>FAM-14</x:v>
      </x:c>
      <x:c r="D415" s="37" t="str">
        <x:v>Personalization, memory &amp; preferences</x:v>
      </x:c>
      <x:c r="E415" s="37" t="str">
        <x:v>Important</x:v>
      </x:c>
      <x:c r="F415" s="37" t="str">
        <x:v>Score after gates</x:v>
      </x:c>
      <x:c r="G415" s="37" t="str">
        <x:v>Personal AI Partner / SelfOS: Saved preferences, history, source memory, and adaptive outputs.</x:v>
      </x:c>
      <x:c r="H415" s="38" t="str">
        <x:v>Start with a scoped journal/interview companion; defer autonomous agent and broad life OS.</x:v>
      </x:c>
    </x:row>
    <x:row r="416" ht="48" customHeight="1">
      <x:c r="A416" s="60" t="str">
        <x:v>DOS-022</x:v>
      </x:c>
      <x:c r="B416" s="37" t="str">
        <x:v>Personal AI Partner / SelfOS</x:v>
      </x:c>
      <x:c r="C416" s="37" t="str">
        <x:v>FAM-17</x:v>
      </x:c>
      <x:c r="D416" s="37" t="str">
        <x:v>Payments, subscriptions &amp; billing</x:v>
      </x:c>
      <x:c r="E416" s="37" t="str">
        <x:v>Important</x:v>
      </x:c>
      <x:c r="F416" s="37" t="str">
        <x:v>Score after gates</x:v>
      </x:c>
      <x:c r="G416" s="37" t="str">
        <x:v>Personal AI Partner / SelfOS: Payments, subscriptions, checkout, entitlements, and billing-aware workflows.</x:v>
      </x:c>
      <x:c r="H416" s="38" t="str">
        <x:v>Start with a scoped journal/interview companion; defer autonomous agent and broad life OS.</x:v>
      </x:c>
    </x:row>
    <x:row r="417" ht="48" customHeight="1">
      <x:c r="A417" s="60" t="str">
        <x:v>DOS-022</x:v>
      </x:c>
      <x:c r="B417" s="37" t="str">
        <x:v>Personal AI Partner / SelfOS</x:v>
      </x:c>
      <x:c r="C417" s="37" t="str">
        <x:v>FAM-25</x:v>
      </x:c>
      <x:c r="D417" s="37" t="str">
        <x:v>Analytics, reporting &amp; decision dashboards</x:v>
      </x:c>
      <x:c r="E417" s="37" t="str">
        <x:v>Important</x:v>
      </x:c>
      <x:c r="F417" s="37" t="str">
        <x:v>Score after gates</x:v>
      </x:c>
      <x:c r="G417" s="37" t="str">
        <x:v>Personal AI Partner / SelfOS: Usage metrics, charts, rankings, reporting, and decision support.</x:v>
      </x:c>
      <x:c r="H417" s="38" t="str">
        <x:v>Start with a scoped journal/interview companion; defer autonomous agent and broad life OS.</x:v>
      </x:c>
    </x:row>
    <x:row r="418" ht="48" customHeight="1">
      <x:c r="A418" s="60" t="str">
        <x:v>DOS-022</x:v>
      </x:c>
      <x:c r="B418" s="37" t="str">
        <x:v>Personal AI Partner / SelfOS</x:v>
      </x:c>
      <x:c r="C418" s="37" t="str">
        <x:v>FAM-29</x:v>
      </x:c>
      <x:c r="D418" s="37" t="str">
        <x:v>Backend functions, APIs &amp; background compute</x:v>
      </x:c>
      <x:c r="E418" s="37" t="str">
        <x:v>Important</x:v>
      </x:c>
      <x:c r="F418" s="37" t="str">
        <x:v>Score after gates</x:v>
      </x:c>
      <x:c r="G418" s="37" t="str">
        <x:v>Personal AI Partner / SelfOS: Server functions, secure APIs, logs, queues, scheduled tasks, and secrets.</x:v>
      </x:c>
      <x:c r="H418" s="38" t="str">
        <x:v>Start with a scoped journal/interview companion; defer autonomous agent and broad life OS.</x:v>
      </x:c>
    </x:row>
    <x:row r="419" ht="48" customHeight="1">
      <x:c r="A419" s="60" t="str">
        <x:v>DOS-022</x:v>
      </x:c>
      <x:c r="B419" s="37" t="str">
        <x:v>Personal AI Partner / SelfOS</x:v>
      </x:c>
      <x:c r="C419" s="37" t="str">
        <x:v>FAM-35</x:v>
      </x:c>
      <x:c r="D419" s="37" t="str">
        <x:v>Privacy, consent &amp; audit trail</x:v>
      </x:c>
      <x:c r="E419" s="37" t="str">
        <x:v>Important</x:v>
      </x:c>
      <x:c r="F419" s="37" t="str">
        <x:v>Score after gates</x:v>
      </x:c>
      <x:c r="G419" s="37" t="str">
        <x:v>Personal AI Partner / SelfOS: Consent, retention, access controls, provenance, and auditable actions.</x:v>
      </x:c>
      <x:c r="H419" s="38" t="str">
        <x:v>Start with a scoped journal/interview companion; defer autonomous agent and broad life OS.</x:v>
      </x:c>
    </x:row>
    <x:row r="420" ht="48" customHeight="1">
      <x:c r="A420" s="60" t="str">
        <x:v>DOS-022</x:v>
      </x:c>
      <x:c r="B420" s="37" t="str">
        <x:v>Personal AI Partner / SelfOS</x:v>
      </x:c>
      <x:c r="C420" s="37" t="str">
        <x:v>FAM-15</x:v>
      </x:c>
      <x:c r="D420" s="37" t="str">
        <x:v>Social, realtime &amp; collaboration</x:v>
      </x:c>
      <x:c r="E420" s="37" t="str">
        <x:v>Expansion</x:v>
      </x:c>
      <x:c r="F420" s="37" t="str">
        <x:v>Flexible / later only</x:v>
      </x:c>
      <x:c r="G420" s="37" t="str">
        <x:v>Personal AI Partner / SelfOS: Feeds, messaging, groups, sharing, realtime updates, or multi-user creation.</x:v>
      </x:c>
      <x:c r="H420" s="38" t="str">
        <x:v>Cross-app memory, voice, agent workflows, personal operating system.</x:v>
      </x:c>
    </x:row>
    <x:row r="421" ht="48" customHeight="1">
      <x:c r="A421" s="60" t="str">
        <x:v>DOS-022</x:v>
      </x:c>
      <x:c r="B421" s="37" t="str">
        <x:v>Personal AI Partner / SelfOS</x:v>
      </x:c>
      <x:c r="C421" s="37" t="str">
        <x:v>FAM-20</x:v>
      </x:c>
      <x:c r="D421" s="37" t="str">
        <x:v>Notifications, reminders &amp; deadlines</x:v>
      </x:c>
      <x:c r="E421" s="37" t="str">
        <x:v>Expansion</x:v>
      </x:c>
      <x:c r="F421" s="37" t="str">
        <x:v>Flexible / later only</x:v>
      </x:c>
      <x:c r="G421" s="37" t="str">
        <x:v>Personal AI Partner / SelfOS: Push/email/in-app reminders, scheduled tasks, and time-bound flows.</x:v>
      </x:c>
      <x:c r="H421" s="38" t="str">
        <x:v>Cross-app memory, voice, agent workflows, personal operating system.</x:v>
      </x:c>
    </x:row>
    <x:row r="422" ht="48" customHeight="1">
      <x:c r="A422" s="60" t="str">
        <x:v>DOS-022</x:v>
      </x:c>
      <x:c r="B422" s="37" t="str">
        <x:v>Personal AI Partner / SelfOS</x:v>
      </x:c>
      <x:c r="C422" s="37" t="str">
        <x:v>FAM-32</x:v>
      </x:c>
      <x:c r="D422" s="37" t="str">
        <x:v>Marketplace, templates &amp; creator assets</x:v>
      </x:c>
      <x:c r="E422" s="37" t="str">
        <x:v>Expansion</x:v>
      </x:c>
      <x:c r="F422" s="37" t="str">
        <x:v>Flexible / later only</x:v>
      </x:c>
      <x:c r="G422" s="37" t="str">
        <x:v>Personal AI Partner / SelfOS: Listings, reusable assets, creator publishing, reviews, and marketplace rules.</x:v>
      </x:c>
      <x:c r="H422" s="38" t="str">
        <x:v>Cross-app memory, voice, agent workflows, personal operating system.</x:v>
      </x:c>
    </x:row>
    <x:row r="423" ht="48" customHeight="1">
      <x:c r="A423" s="60" t="str">
        <x:v>DOS-022</x:v>
      </x:c>
      <x:c r="B423" s="37" t="str">
        <x:v>Personal AI Partner / SelfOS</x:v>
      </x:c>
      <x:c r="C423" s="37" t="str">
        <x:v>FAM-36</x:v>
      </x:c>
      <x:c r="D423" s="37" t="str">
        <x:v>Scoring, ranking &amp; matching logic</x:v>
      </x:c>
      <x:c r="E423" s="37" t="str">
        <x:v>Expansion</x:v>
      </x:c>
      <x:c r="F423" s="37" t="str">
        <x:v>Flexible / later only</x:v>
      </x:c>
      <x:c r="G423" s="37" t="str">
        <x:v>Personal AI Partner / SelfOS: Transparent scorecards, requirements matching, routes, and tie-break explanations.</x:v>
      </x:c>
      <x:c r="H423" s="38" t="str">
        <x:v>Cross-app memory, voice, agent workflows, personal operating system.</x:v>
      </x:c>
    </x:row>
    <x:row r="424" ht="48" customHeight="1">
      <x:c r="A424" s="60" t="str">
        <x:v>DOS-023</x:v>
      </x:c>
      <x:c r="B424" s="37" t="str">
        <x:v>Teaching AI + Cell Phones / AI Schoolhouse</x:v>
      </x:c>
      <x:c r="C424" s="37" t="str">
        <x:v>FAM-01</x:v>
      </x:c>
      <x:c r="D424" s="37" t="str">
        <x:v>Responsive web / PWA interface</x:v>
      </x:c>
      <x:c r="E424" s="37" t="str">
        <x:v>Must</x:v>
      </x:c>
      <x:c r="F424" s="37" t="str">
        <x:v>Strict-route gate</x:v>
      </x:c>
      <x:c r="G424" s="37" t="str">
        <x:v>Teaching AI + Cell Phones / AI Schoolhouse: Mobile-first responsive screens and app-like web navigation.</x:v>
      </x:c>
      <x:c r="H424" s="38" t="str">
        <x:v>Offer/pricing, booking/contact, first curriculum, testimonials/resources, local outreach landing pages.</x:v>
      </x:c>
    </x:row>
    <x:row r="425" ht="48" customHeight="1">
      <x:c r="A425" s="60" t="str">
        <x:v>DOS-023</x:v>
      </x:c>
      <x:c r="B425" s="37" t="str">
        <x:v>Teaching AI + Cell Phones / AI Schoolhouse</x:v>
      </x:c>
      <x:c r="C425" s="37" t="str">
        <x:v>FAM-23</x:v>
      </x:c>
      <x:c r="D425" s="37" t="str">
        <x:v>Public website, SEO &amp; domain control</x:v>
      </x:c>
      <x:c r="E425" s="37" t="str">
        <x:v>Must</x:v>
      </x:c>
      <x:c r="F425" s="37" t="str">
        <x:v>Strict-route gate</x:v>
      </x:c>
      <x:c r="G425" s="37" t="str">
        <x:v>Teaching AI + Cell Phones / AI Schoolhouse: Public pages, discoverability, custom domain, shareability, and search metadata.</x:v>
      </x:c>
      <x:c r="H425" s="38" t="str">
        <x:v>Offer/pricing, booking/contact, first curriculum, testimonials/resources, local outreach landing pages.</x:v>
      </x:c>
    </x:row>
    <x:row r="426" ht="48" customHeight="1">
      <x:c r="A426" s="60" t="str">
        <x:v>DOS-023</x:v>
      </x:c>
      <x:c r="B426" s="37" t="str">
        <x:v>Teaching AI + Cell Phones / AI Schoolhouse</x:v>
      </x:c>
      <x:c r="C426" s="37" t="str">
        <x:v>FAM-26</x:v>
      </x:c>
      <x:c r="D426" s="37" t="str">
        <x:v>Admin, CMS &amp; operational management</x:v>
      </x:c>
      <x:c r="E426" s="37" t="str">
        <x:v>Must</x:v>
      </x:c>
      <x:c r="F426" s="37" t="str">
        <x:v>Strict-route gate</x:v>
      </x:c>
      <x:c r="G426" s="37" t="str">
        <x:v>Teaching AI + Cell Phones / AI Schoolhouse: Admin views, content management, operational review, and human overrides.</x:v>
      </x:c>
      <x:c r="H426" s="38" t="str">
        <x:v>Offer/pricing, booking/contact, first curriculum, testimonials/resources, local outreach landing pages.</x:v>
      </x:c>
    </x:row>
    <x:row r="427" ht="48" customHeight="1">
      <x:c r="A427" s="60" t="str">
        <x:v>DOS-023</x:v>
      </x:c>
      <x:c r="B427" s="37" t="str">
        <x:v>Teaching AI + Cell Phones / AI Schoolhouse</x:v>
      </x:c>
      <x:c r="C427" s="37" t="str">
        <x:v>FAM-34</x:v>
      </x:c>
      <x:c r="D427" s="37" t="str">
        <x:v>Lead capture, booking &amp; service commerce</x:v>
      </x:c>
      <x:c r="E427" s="37" t="str">
        <x:v>Must</x:v>
      </x:c>
      <x:c r="F427" s="37" t="str">
        <x:v>Strict-route gate</x:v>
      </x:c>
      <x:c r="G427" s="37" t="str">
        <x:v>Teaching AI + Cell Phones / AI Schoolhouse: Inquiry forms, booking, sales funnels, quotes, and service-client handoff.</x:v>
      </x:c>
      <x:c r="H427" s="38" t="str">
        <x:v>Offer/pricing, booking/contact, first curriculum, testimonials/resources, local outreach landing pages.</x:v>
      </x:c>
    </x:row>
    <x:row r="428" ht="48" customHeight="1">
      <x:c r="A428" s="60" t="str">
        <x:v>DOS-023</x:v>
      </x:c>
      <x:c r="B428" s="37" t="str">
        <x:v>Teaching AI + Cell Phones / AI Schoolhouse</x:v>
      </x:c>
      <x:c r="C428" s="37" t="str">
        <x:v>FAM-40</x:v>
      </x:c>
      <x:c r="D428" s="37" t="str">
        <x:v>Research, validation &amp; launch experiment</x:v>
      </x:c>
      <x:c r="E428" s="37" t="str">
        <x:v>Must</x:v>
      </x:c>
      <x:c r="F428" s="37" t="str">
        <x:v>Strict-route gate</x:v>
      </x:c>
      <x:c r="G428" s="37" t="str">
        <x:v>Teaching AI + Cell Phones / AI Schoolhouse: Landing tests, surveys, waitlists, hypotheses, experiments, and evidence capture.</x:v>
      </x:c>
      <x:c r="H428" s="38" t="str">
        <x:v>Offer/pricing, booking/contact, first curriculum, testimonials/resources, local outreach landing pages.</x:v>
      </x:c>
    </x:row>
    <x:row r="429" ht="48" customHeight="1">
      <x:c r="A429" s="60" t="str">
        <x:v>DOS-023</x:v>
      </x:c>
      <x:c r="B429" s="37" t="str">
        <x:v>Teaching AI + Cell Phones / AI Schoolhouse</x:v>
      </x:c>
      <x:c r="C429" s="37" t="str">
        <x:v>FAM-02</x:v>
      </x:c>
      <x:c r="D429" s="37" t="str">
        <x:v>Android/mobile builder workability</x:v>
      </x:c>
      <x:c r="E429" s="37" t="str">
        <x:v>Important</x:v>
      </x:c>
      <x:c r="F429" s="37" t="str">
        <x:v>Score after gates</x:v>
      </x:c>
      <x:c r="G429" s="37" t="str">
        <x:v>Teaching AI + Cell Phones / AI Schoolhouse: Derek can build, edit, preview, test, and deploy with reasonable Android/mobile friction.</x:v>
      </x:c>
      <x:c r="H429" s="38" t="str">
        <x:v>Sell human services first; defer a full learning platform.</x:v>
      </x:c>
    </x:row>
    <x:row r="430" ht="48" customHeight="1">
      <x:c r="A430" s="60" t="str">
        <x:v>DOS-023</x:v>
      </x:c>
      <x:c r="B430" s="37" t="str">
        <x:v>Teaching AI + Cell Phones / AI Schoolhouse</x:v>
      </x:c>
      <x:c r="C430" s="37" t="str">
        <x:v>FAM-17</x:v>
      </x:c>
      <x:c r="D430" s="37" t="str">
        <x:v>Payments, subscriptions &amp; billing</x:v>
      </x:c>
      <x:c r="E430" s="37" t="str">
        <x:v>Important</x:v>
      </x:c>
      <x:c r="F430" s="37" t="str">
        <x:v>Score after gates</x:v>
      </x:c>
      <x:c r="G430" s="37" t="str">
        <x:v>Teaching AI + Cell Phones / AI Schoolhouse: Payments, subscriptions, checkout, entitlements, and billing-aware workflows.</x:v>
      </x:c>
      <x:c r="H430" s="38" t="str">
        <x:v>Sell human services first; defer a full learning platform.</x:v>
      </x:c>
    </x:row>
    <x:row r="431" ht="48" customHeight="1">
      <x:c r="A431" s="60" t="str">
        <x:v>DOS-023</x:v>
      </x:c>
      <x:c r="B431" s="37" t="str">
        <x:v>Teaching AI + Cell Phones / AI Schoolhouse</x:v>
      </x:c>
      <x:c r="C431" s="37" t="str">
        <x:v>FAM-22</x:v>
      </x:c>
      <x:c r="D431" s="37" t="str">
        <x:v>APIs &amp; third-party integrations</x:v>
      </x:c>
      <x:c r="E431" s="37" t="str">
        <x:v>Important</x:v>
      </x:c>
      <x:c r="F431" s="37" t="str">
        <x:v>Score after gates</x:v>
      </x:c>
      <x:c r="G431" s="37" t="str">
        <x:v>Teaching AI + Cell Phones / AI Schoolhouse: External services, social/export targets, payment providers, and service connectors.</x:v>
      </x:c>
      <x:c r="H431" s="38" t="str">
        <x:v>Sell human services first; defer a full learning platform.</x:v>
      </x:c>
    </x:row>
    <x:row r="432" ht="48" customHeight="1">
      <x:c r="A432" s="60" t="str">
        <x:v>DOS-023</x:v>
      </x:c>
      <x:c r="B432" s="37" t="str">
        <x:v>Teaching AI + Cell Phones / AI Schoolhouse</x:v>
      </x:c>
      <x:c r="C432" s="37" t="str">
        <x:v>FAM-25</x:v>
      </x:c>
      <x:c r="D432" s="37" t="str">
        <x:v>Analytics, reporting &amp; decision dashboards</x:v>
      </x:c>
      <x:c r="E432" s="37" t="str">
        <x:v>Important</x:v>
      </x:c>
      <x:c r="F432" s="37" t="str">
        <x:v>Score after gates</x:v>
      </x:c>
      <x:c r="G432" s="37" t="str">
        <x:v>Teaching AI + Cell Phones / AI Schoolhouse: Usage metrics, charts, rankings, reporting, and decision support.</x:v>
      </x:c>
      <x:c r="H432" s="38" t="str">
        <x:v>Sell human services first; defer a full learning platform.</x:v>
      </x:c>
    </x:row>
    <x:row r="433" ht="48" customHeight="1">
      <x:c r="A433" s="60" t="str">
        <x:v>DOS-023</x:v>
      </x:c>
      <x:c r="B433" s="37" t="str">
        <x:v>Teaching AI + Cell Phones / AI Schoolhouse</x:v>
      </x:c>
      <x:c r="C433" s="37" t="str">
        <x:v>FAM-27</x:v>
      </x:c>
      <x:c r="D433" s="37" t="str">
        <x:v>Portability, ownership &amp; escape path</x:v>
      </x:c>
      <x:c r="E433" s="37" t="str">
        <x:v>Important</x:v>
      </x:c>
      <x:c r="F433" s="37" t="str">
        <x:v>Score after gates</x:v>
      </x:c>
      <x:c r="G433" s="37" t="str">
        <x:v>Teaching AI + Cell Phones / AI Schoolhouse: Code/data export, GitHub, custom domains, migration, and lock-in control.</x:v>
      </x:c>
      <x:c r="H433" s="38" t="str">
        <x:v>Sell human services first; defer a full learning platform.</x:v>
      </x:c>
    </x:row>
    <x:row r="434" ht="48" customHeight="1">
      <x:c r="A434" s="60" t="str">
        <x:v>DOS-023</x:v>
      </x:c>
      <x:c r="B434" s="37" t="str">
        <x:v>Teaching AI + Cell Phones / AI Schoolhouse</x:v>
      </x:c>
      <x:c r="C434" s="37" t="str">
        <x:v>FAM-33</x:v>
      </x:c>
      <x:c r="D434" s="37" t="str">
        <x:v>Location, scheduling &amp; service coordination</x:v>
      </x:c>
      <x:c r="E434" s="37" t="str">
        <x:v>Important</x:v>
      </x:c>
      <x:c r="F434" s="37" t="str">
        <x:v>Score after gates</x:v>
      </x:c>
      <x:c r="G434" s="37" t="str">
        <x:v>Teaching AI + Cell Phones / AI Schoolhouse: Maps, appointments, resources, availability, or geographic service coordination.</x:v>
      </x:c>
      <x:c r="H434" s="38" t="str">
        <x:v>Sell human services first; defer a full learning platform.</x:v>
      </x:c>
    </x:row>
    <x:row r="435" ht="48" customHeight="1">
      <x:c r="A435" s="60" t="str">
        <x:v>DOS-023</x:v>
      </x:c>
      <x:c r="B435" s="37" t="str">
        <x:v>Teaching AI + Cell Phones / AI Schoolhouse</x:v>
      </x:c>
      <x:c r="C435" s="37" t="str">
        <x:v>FAM-03</x:v>
      </x:c>
      <x:c r="D435" s="37" t="str">
        <x:v>Authentication, identity &amp; roles</x:v>
      </x:c>
      <x:c r="E435" s="37" t="str">
        <x:v>Expansion</x:v>
      </x:c>
      <x:c r="F435" s="37" t="str">
        <x:v>Flexible / later only</x:v>
      </x:c>
      <x:c r="G435" s="37" t="str">
        <x:v>Teaching AI + Cell Phones / AI Schoolhouse: Sign-in, role-aware access, member identity, and permissions.</x:v>
      </x:c>
      <x:c r="H435" s="38" t="str">
        <x:v>Certification, franchise, mobile units, online courses, resource membership.</x:v>
      </x:c>
    </x:row>
    <x:row r="436" ht="48" customHeight="1">
      <x:c r="A436" s="60" t="str">
        <x:v>DOS-023</x:v>
      </x:c>
      <x:c r="B436" s="37" t="str">
        <x:v>Teaching AI + Cell Phones / AI Schoolhouse</x:v>
      </x:c>
      <x:c r="C436" s="37" t="str">
        <x:v>FAM-04</x:v>
      </x:c>
      <x:c r="D436" s="37" t="str">
        <x:v>Profiles, portfolios &amp; relationship records</x:v>
      </x:c>
      <x:c r="E436" s="37" t="str">
        <x:v>Expansion</x:v>
      </x:c>
      <x:c r="F436" s="37" t="str">
        <x:v>Flexible / later only</x:v>
      </x:c>
      <x:c r="G436" s="37" t="str">
        <x:v>Teaching AI + Cell Phones / AI Schoolhouse: Persistent user/member/creator profiles and linked relationships.</x:v>
      </x:c>
      <x:c r="H436" s="38" t="str">
        <x:v>Certification, franchise, mobile units, online courses, resource membership.</x:v>
      </x:c>
    </x:row>
    <x:row r="437" ht="48" customHeight="1">
      <x:c r="A437" s="60" t="str">
        <x:v>DOS-023</x:v>
      </x:c>
      <x:c r="B437" s="37" t="str">
        <x:v>Teaching AI + Cell Phones / AI Schoolhouse</x:v>
      </x:c>
      <x:c r="C437" s="37" t="str">
        <x:v>FAM-12</x:v>
      </x:c>
      <x:c r="D437" s="37" t="str">
        <x:v>AI text generation, analysis &amp; agents</x:v>
      </x:c>
      <x:c r="E437" s="37" t="str">
        <x:v>Expansion</x:v>
      </x:c>
      <x:c r="F437" s="37" t="str">
        <x:v>Flexible / later only</x:v>
      </x:c>
      <x:c r="G437" s="37" t="str">
        <x:v>Teaching AI + Cell Phones / AI Schoolhouse: Prompted generation, classification, summarization, reasoning, or assistant behavior.</x:v>
      </x:c>
      <x:c r="H437" s="38" t="str">
        <x:v>Certification, franchise, mobile units, online courses, resource membership.</x:v>
      </x:c>
    </x:row>
    <x:row r="438" ht="48" customHeight="1">
      <x:c r="A438" s="60" t="str">
        <x:v>DOS-023</x:v>
      </x:c>
      <x:c r="B438" s="37" t="str">
        <x:v>Teaching AI + Cell Phones / AI Schoolhouse</x:v>
      </x:c>
      <x:c r="C438" s="37" t="str">
        <x:v>FAM-18</x:v>
      </x:c>
      <x:c r="D438" s="37" t="str">
        <x:v>Commerce, catalog &amp; fulfillment</x:v>
      </x:c>
      <x:c r="E438" s="37" t="str">
        <x:v>Expansion</x:v>
      </x:c>
      <x:c r="F438" s="37" t="str">
        <x:v>Flexible / later only</x:v>
      </x:c>
      <x:c r="G438" s="37" t="str">
        <x:v>Teaching AI + Cell Phones / AI Schoolhouse: Product catalogs, ecommerce, orders, print-on-demand, and fulfillment integrations.</x:v>
      </x:c>
      <x:c r="H438" s="38" t="str">
        <x:v>Certification, franchise, mobile units, online courses, resource membership.</x:v>
      </x:c>
    </x:row>
    <x:row r="439" ht="48" customHeight="1">
      <x:c r="A439" s="60" t="str">
        <x:v>DOS-024</x:v>
      </x:c>
      <x:c r="B439" s="37" t="str">
        <x:v>The Literalizer / Bullshit X-Ray</x:v>
      </x:c>
      <x:c r="C439" s="37" t="str">
        <x:v>FAM-01</x:v>
      </x:c>
      <x:c r="D439" s="37" t="str">
        <x:v>Responsive web / PWA interface</x:v>
      </x:c>
      <x:c r="E439" s="37" t="str">
        <x:v>Must</x:v>
      </x:c>
      <x:c r="F439" s="37" t="str">
        <x:v>Strict-route gate</x:v>
      </x:c>
      <x:c r="G439" s="37" t="str">
        <x:v>The Literalizer / Bullshit X-Ray: Mobile-first responsive screens and app-like web navigation.</x:v>
      </x:c>
      <x:c r="H439" s="38" t="str">
        <x:v>Paste input, structured output, copy/share, plain-language explanation, risk/ambiguity flags, lightweight persistence.</x:v>
      </x:c>
    </x:row>
    <x:row r="440" ht="48" customHeight="1">
      <x:c r="A440" s="60" t="str">
        <x:v>DOS-024</x:v>
      </x:c>
      <x:c r="B440" s="37" t="str">
        <x:v>The Literalizer / Bullshit X-Ray</x:v>
      </x:c>
      <x:c r="C440" s="37" t="str">
        <x:v>FAM-05</x:v>
      </x:c>
      <x:c r="D440" s="37" t="str">
        <x:v>Structured database &amp; persistent records</x:v>
      </x:c>
      <x:c r="E440" s="37" t="str">
        <x:v>Must</x:v>
      </x:c>
      <x:c r="F440" s="37" t="str">
        <x:v>Strict-route gate</x:v>
      </x:c>
      <x:c r="G440" s="37" t="str">
        <x:v>The Literalizer / Bullshit X-Ray: Reliable structured data storage, retrieval, and updates.</x:v>
      </x:c>
      <x:c r="H440" s="38" t="str">
        <x:v>Paste input, structured output, copy/share, plain-language explanation, risk/ambiguity flags, lightweight persistence.</x:v>
      </x:c>
    </x:row>
    <x:row r="441" ht="48" customHeight="1">
      <x:c r="A441" s="60" t="str">
        <x:v>DOS-024</x:v>
      </x:c>
      <x:c r="B441" s="37" t="str">
        <x:v>The Literalizer / Bullshit X-Ray</x:v>
      </x:c>
      <x:c r="C441" s="37" t="str">
        <x:v>FAM-12</x:v>
      </x:c>
      <x:c r="D441" s="37" t="str">
        <x:v>AI text generation, analysis &amp; agents</x:v>
      </x:c>
      <x:c r="E441" s="37" t="str">
        <x:v>Must</x:v>
      </x:c>
      <x:c r="F441" s="37" t="str">
        <x:v>Strict-route gate</x:v>
      </x:c>
      <x:c r="G441" s="37" t="str">
        <x:v>The Literalizer / Bullshit X-Ray: Prompted generation, classification, summarization, reasoning, or assistant behavior.</x:v>
      </x:c>
      <x:c r="H441" s="38" t="str">
        <x:v>Paste input, structured output, copy/share, plain-language explanation, risk/ambiguity flags, lightweight persistence.</x:v>
      </x:c>
    </x:row>
    <x:row r="442" ht="48" customHeight="1">
      <x:c r="A442" s="60" t="str">
        <x:v>DOS-024</x:v>
      </x:c>
      <x:c r="B442" s="37" t="str">
        <x:v>The Literalizer / Bullshit X-Ray</x:v>
      </x:c>
      <x:c r="C442" s="37" t="str">
        <x:v>FAM-23</x:v>
      </x:c>
      <x:c r="D442" s="37" t="str">
        <x:v>Public website, SEO &amp; domain control</x:v>
      </x:c>
      <x:c r="E442" s="37" t="str">
        <x:v>Must</x:v>
      </x:c>
      <x:c r="F442" s="37" t="str">
        <x:v>Strict-route gate</x:v>
      </x:c>
      <x:c r="G442" s="37" t="str">
        <x:v>The Literalizer / Bullshit X-Ray: Public pages, discoverability, custom domain, shareability, and search metadata.</x:v>
      </x:c>
      <x:c r="H442" s="38" t="str">
        <x:v>Paste input, structured output, copy/share, plain-language explanation, risk/ambiguity flags, lightweight persistence.</x:v>
      </x:c>
    </x:row>
    <x:row r="443" ht="48" customHeight="1">
      <x:c r="A443" s="60" t="str">
        <x:v>DOS-024</x:v>
      </x:c>
      <x:c r="B443" s="37" t="str">
        <x:v>The Literalizer / Bullshit X-Ray</x:v>
      </x:c>
      <x:c r="C443" s="37" t="str">
        <x:v>FAM-24</x:v>
      </x:c>
      <x:c r="D443" s="37" t="str">
        <x:v>Export, publishing &amp; share routes</x:v>
      </x:c>
      <x:c r="E443" s="37" t="str">
        <x:v>Must</x:v>
      </x:c>
      <x:c r="F443" s="37" t="str">
        <x:v>Strict-route gate</x:v>
      </x:c>
      <x:c r="G443" s="37" t="str">
        <x:v>The Literalizer / Bullshit X-Ray: Download/export, social publishing, share links, and portable output packages.</x:v>
      </x:c>
      <x:c r="H443" s="38" t="str">
        <x:v>Paste input, structured output, copy/share, plain-language explanation, risk/ambiguity flags, lightweight persistence.</x:v>
      </x:c>
    </x:row>
    <x:row r="444" ht="48" customHeight="1">
      <x:c r="A444" s="60" t="str">
        <x:v>DOS-024</x:v>
      </x:c>
      <x:c r="B444" s="37" t="str">
        <x:v>The Literalizer / Bullshit X-Ray</x:v>
      </x:c>
      <x:c r="C444" s="37" t="str">
        <x:v>FAM-27</x:v>
      </x:c>
      <x:c r="D444" s="37" t="str">
        <x:v>Portability, ownership &amp; escape path</x:v>
      </x:c>
      <x:c r="E444" s="37" t="str">
        <x:v>Must</x:v>
      </x:c>
      <x:c r="F444" s="37" t="str">
        <x:v>Strict-route gate</x:v>
      </x:c>
      <x:c r="G444" s="37" t="str">
        <x:v>The Literalizer / Bullshit X-Ray: Code/data export, GitHub, custom domains, migration, and lock-in control.</x:v>
      </x:c>
      <x:c r="H444" s="38" t="str">
        <x:v>Paste input, structured output, copy/share, plain-language explanation, risk/ambiguity flags, lightweight persistence.</x:v>
      </x:c>
    </x:row>
    <x:row r="445" ht="48" customHeight="1">
      <x:c r="A445" s="60" t="str">
        <x:v>DOS-024</x:v>
      </x:c>
      <x:c r="B445" s="37" t="str">
        <x:v>The Literalizer / Bullshit X-Ray</x:v>
      </x:c>
      <x:c r="C445" s="37" t="str">
        <x:v>FAM-28</x:v>
      </x:c>
      <x:c r="D445" s="37" t="str">
        <x:v>Custom code &amp; extensibility</x:v>
      </x:c>
      <x:c r="E445" s="37" t="str">
        <x:v>Must</x:v>
      </x:c>
      <x:c r="F445" s="37" t="str">
        <x:v>Strict-route gate</x:v>
      </x:c>
      <x:c r="G445" s="37" t="str">
        <x:v>The Literalizer / Bullshit X-Ray: Ability to add bespoke logic, components, SDKs, or developer assistance.</x:v>
      </x:c>
      <x:c r="H445" s="38" t="str">
        <x:v>Paste input, structured output, copy/share, plain-language explanation, risk/ambiguity flags, lightweight persistence.</x:v>
      </x:c>
    </x:row>
    <x:row r="446" ht="48" customHeight="1">
      <x:c r="A446" s="60" t="str">
        <x:v>DOS-024</x:v>
      </x:c>
      <x:c r="B446" s="37" t="str">
        <x:v>The Literalizer / Bullshit X-Ray</x:v>
      </x:c>
      <x:c r="C446" s="37" t="str">
        <x:v>FAM-02</x:v>
      </x:c>
      <x:c r="D446" s="37" t="str">
        <x:v>Android/mobile builder workability</x:v>
      </x:c>
      <x:c r="E446" s="37" t="str">
        <x:v>Important</x:v>
      </x:c>
      <x:c r="F446" s="37" t="str">
        <x:v>Score after gates</x:v>
      </x:c>
      <x:c r="G446" s="37" t="str">
        <x:v>The Literalizer / Bullshit X-Ray: Derek can build, edit, preview, test, and deploy with reasonable Android/mobile friction.</x:v>
      </x:c>
      <x:c r="H446" s="38" t="str">
        <x:v>Start with text; defer screenshots, APIs, specialized industry editions, and characters.</x:v>
      </x:c>
    </x:row>
    <x:row r="447" ht="48" customHeight="1">
      <x:c r="A447" s="60" t="str">
        <x:v>DOS-024</x:v>
      </x:c>
      <x:c r="B447" s="37" t="str">
        <x:v>The Literalizer / Bullshit X-Ray</x:v>
      </x:c>
      <x:c r="C447" s="37" t="str">
        <x:v>FAM-03</x:v>
      </x:c>
      <x:c r="D447" s="37" t="str">
        <x:v>Authentication, identity &amp; roles</x:v>
      </x:c>
      <x:c r="E447" s="37" t="str">
        <x:v>Important</x:v>
      </x:c>
      <x:c r="F447" s="37" t="str">
        <x:v>Score after gates</x:v>
      </x:c>
      <x:c r="G447" s="37" t="str">
        <x:v>The Literalizer / Bullshit X-Ray: Sign-in, role-aware access, member identity, and permissions.</x:v>
      </x:c>
      <x:c r="H447" s="38" t="str">
        <x:v>Start with text; defer screenshots, APIs, specialized industry editions, and characters.</x:v>
      </x:c>
    </x:row>
    <x:row r="448" ht="48" customHeight="1">
      <x:c r="A448" s="60" t="str">
        <x:v>DOS-024</x:v>
      </x:c>
      <x:c r="B448" s="37" t="str">
        <x:v>The Literalizer / Bullshit X-Ray</x:v>
      </x:c>
      <x:c r="C448" s="37" t="str">
        <x:v>FAM-13</x:v>
      </x:c>
      <x:c r="D448" s="37" t="str">
        <x:v>OCR &amp; structured extraction</x:v>
      </x:c>
      <x:c r="E448" s="37" t="str">
        <x:v>Important</x:v>
      </x:c>
      <x:c r="F448" s="37" t="str">
        <x:v>Score after gates</x:v>
      </x:c>
      <x:c r="G448" s="37" t="str">
        <x:v>The Literalizer / Bullshit X-Ray: Extract fields from screenshots, documents, receipts, or messy content.</x:v>
      </x:c>
      <x:c r="H448" s="38" t="str">
        <x:v>Start with text; defer screenshots, APIs, specialized industry editions, and characters.</x:v>
      </x:c>
    </x:row>
    <x:row r="449" ht="48" customHeight="1">
      <x:c r="A449" s="60" t="str">
        <x:v>DOS-024</x:v>
      </x:c>
      <x:c r="B449" s="37" t="str">
        <x:v>The Literalizer / Bullshit X-Ray</x:v>
      </x:c>
      <x:c r="C449" s="37" t="str">
        <x:v>FAM-14</x:v>
      </x:c>
      <x:c r="D449" s="37" t="str">
        <x:v>Personalization, memory &amp; preferences</x:v>
      </x:c>
      <x:c r="E449" s="37" t="str">
        <x:v>Important</x:v>
      </x:c>
      <x:c r="F449" s="37" t="str">
        <x:v>Score after gates</x:v>
      </x:c>
      <x:c r="G449" s="37" t="str">
        <x:v>The Literalizer / Bullshit X-Ray: Saved preferences, history, source memory, and adaptive outputs.</x:v>
      </x:c>
      <x:c r="H449" s="38" t="str">
        <x:v>Start with text; defer screenshots, APIs, specialized industry editions, and characters.</x:v>
      </x:c>
    </x:row>
    <x:row r="450" ht="48" customHeight="1">
      <x:c r="A450" s="60" t="str">
        <x:v>DOS-024</x:v>
      </x:c>
      <x:c r="B450" s="37" t="str">
        <x:v>The Literalizer / Bullshit X-Ray</x:v>
      </x:c>
      <x:c r="C450" s="37" t="str">
        <x:v>FAM-17</x:v>
      </x:c>
      <x:c r="D450" s="37" t="str">
        <x:v>Payments, subscriptions &amp; billing</x:v>
      </x:c>
      <x:c r="E450" s="37" t="str">
        <x:v>Important</x:v>
      </x:c>
      <x:c r="F450" s="37" t="str">
        <x:v>Score after gates</x:v>
      </x:c>
      <x:c r="G450" s="37" t="str">
        <x:v>The Literalizer / Bullshit X-Ray: Payments, subscriptions, checkout, entitlements, and billing-aware workflows.</x:v>
      </x:c>
      <x:c r="H450" s="38" t="str">
        <x:v>Start with text; defer screenshots, APIs, specialized industry editions, and characters.</x:v>
      </x:c>
    </x:row>
    <x:row r="451" ht="48" customHeight="1">
      <x:c r="A451" s="60" t="str">
        <x:v>DOS-024</x:v>
      </x:c>
      <x:c r="B451" s="37" t="str">
        <x:v>The Literalizer / Bullshit X-Ray</x:v>
      </x:c>
      <x:c r="C451" s="37" t="str">
        <x:v>FAM-25</x:v>
      </x:c>
      <x:c r="D451" s="37" t="str">
        <x:v>Analytics, reporting &amp; decision dashboards</x:v>
      </x:c>
      <x:c r="E451" s="37" t="str">
        <x:v>Important</x:v>
      </x:c>
      <x:c r="F451" s="37" t="str">
        <x:v>Score after gates</x:v>
      </x:c>
      <x:c r="G451" s="37" t="str">
        <x:v>The Literalizer / Bullshit X-Ray: Usage metrics, charts, rankings, reporting, and decision support.</x:v>
      </x:c>
      <x:c r="H451" s="38" t="str">
        <x:v>Start with text; defer screenshots, APIs, specialized industry editions, and characters.</x:v>
      </x:c>
    </x:row>
    <x:row r="452" ht="48" customHeight="1">
      <x:c r="A452" s="60" t="str">
        <x:v>DOS-024</x:v>
      </x:c>
      <x:c r="B452" s="37" t="str">
        <x:v>The Literalizer / Bullshit X-Ray</x:v>
      </x:c>
      <x:c r="C452" s="37" t="str">
        <x:v>FAM-29</x:v>
      </x:c>
      <x:c r="D452" s="37" t="str">
        <x:v>Backend functions, APIs &amp; background compute</x:v>
      </x:c>
      <x:c r="E452" s="37" t="str">
        <x:v>Important</x:v>
      </x:c>
      <x:c r="F452" s="37" t="str">
        <x:v>Score after gates</x:v>
      </x:c>
      <x:c r="G452" s="37" t="str">
        <x:v>The Literalizer / Bullshit X-Ray: Server functions, secure APIs, logs, queues, scheduled tasks, and secrets.</x:v>
      </x:c>
      <x:c r="H452" s="38" t="str">
        <x:v>Start with text; defer screenshots, APIs, specialized industry editions, and characters.</x:v>
      </x:c>
    </x:row>
    <x:row r="453" ht="48" customHeight="1">
      <x:c r="A453" s="60" t="str">
        <x:v>DOS-024</x:v>
      </x:c>
      <x:c r="B453" s="37" t="str">
        <x:v>The Literalizer / Bullshit X-Ray</x:v>
      </x:c>
      <x:c r="C453" s="37" t="str">
        <x:v>FAM-35</x:v>
      </x:c>
      <x:c r="D453" s="37" t="str">
        <x:v>Privacy, consent &amp; audit trail</x:v>
      </x:c>
      <x:c r="E453" s="37" t="str">
        <x:v>Important</x:v>
      </x:c>
      <x:c r="F453" s="37" t="str">
        <x:v>Score after gates</x:v>
      </x:c>
      <x:c r="G453" s="37" t="str">
        <x:v>The Literalizer / Bullshit X-Ray: Consent, retention, access controls, provenance, and auditable actions.</x:v>
      </x:c>
      <x:c r="H453" s="38" t="str">
        <x:v>Start with text; defer screenshots, APIs, specialized industry editions, and characters.</x:v>
      </x:c>
    </x:row>
    <x:row r="454" ht="48" customHeight="1">
      <x:c r="A454" s="60" t="str">
        <x:v>DOS-024</x:v>
      </x:c>
      <x:c r="B454" s="37" t="str">
        <x:v>The Literalizer / Bullshit X-Ray</x:v>
      </x:c>
      <x:c r="C454" s="37" t="str">
        <x:v>FAM-15</x:v>
      </x:c>
      <x:c r="D454" s="37" t="str">
        <x:v>Social, realtime &amp; collaboration</x:v>
      </x:c>
      <x:c r="E454" s="37" t="str">
        <x:v>Expansion</x:v>
      </x:c>
      <x:c r="F454" s="37" t="str">
        <x:v>Flexible / later only</x:v>
      </x:c>
      <x:c r="G454" s="37" t="str">
        <x:v>The Literalizer / Bullshit X-Ray: Feeds, messaging, groups, sharing, realtime updates, or multi-user creation.</x:v>
      </x:c>
      <x:c r="H454" s="38" t="str">
        <x:v>Literalizer editions, widgets/API, Lee Gull &amp; Otis M entertainment layer.</x:v>
      </x:c>
    </x:row>
    <x:row r="455" ht="48" customHeight="1">
      <x:c r="A455" s="60" t="str">
        <x:v>DOS-024</x:v>
      </x:c>
      <x:c r="B455" s="37" t="str">
        <x:v>The Literalizer / Bullshit X-Ray</x:v>
      </x:c>
      <x:c r="C455" s="37" t="str">
        <x:v>FAM-20</x:v>
      </x:c>
      <x:c r="D455" s="37" t="str">
        <x:v>Notifications, reminders &amp; deadlines</x:v>
      </x:c>
      <x:c r="E455" s="37" t="str">
        <x:v>Expansion</x:v>
      </x:c>
      <x:c r="F455" s="37" t="str">
        <x:v>Flexible / later only</x:v>
      </x:c>
      <x:c r="G455" s="37" t="str">
        <x:v>The Literalizer / Bullshit X-Ray: Push/email/in-app reminders, scheduled tasks, and time-bound flows.</x:v>
      </x:c>
      <x:c r="H455" s="38" t="str">
        <x:v>Literalizer editions, widgets/API, Lee Gull &amp; Otis M entertainment layer.</x:v>
      </x:c>
    </x:row>
    <x:row r="456" ht="48" customHeight="1">
      <x:c r="A456" s="60" t="str">
        <x:v>DOS-024</x:v>
      </x:c>
      <x:c r="B456" s="37" t="str">
        <x:v>The Literalizer / Bullshit X-Ray</x:v>
      </x:c>
      <x:c r="C456" s="37" t="str">
        <x:v>FAM-32</x:v>
      </x:c>
      <x:c r="D456" s="37" t="str">
        <x:v>Marketplace, templates &amp; creator assets</x:v>
      </x:c>
      <x:c r="E456" s="37" t="str">
        <x:v>Expansion</x:v>
      </x:c>
      <x:c r="F456" s="37" t="str">
        <x:v>Flexible / later only</x:v>
      </x:c>
      <x:c r="G456" s="37" t="str">
        <x:v>The Literalizer / Bullshit X-Ray: Listings, reusable assets, creator publishing, reviews, and marketplace rules.</x:v>
      </x:c>
      <x:c r="H456" s="38" t="str">
        <x:v>Literalizer editions, widgets/API, Lee Gull &amp; Otis M entertainment layer.</x:v>
      </x:c>
    </x:row>
    <x:row r="457" ht="48" customHeight="1">
      <x:c r="A457" s="60" t="str">
        <x:v>DOS-024</x:v>
      </x:c>
      <x:c r="B457" s="37" t="str">
        <x:v>The Literalizer / Bullshit X-Ray</x:v>
      </x:c>
      <x:c r="C457" s="37" t="str">
        <x:v>FAM-36</x:v>
      </x:c>
      <x:c r="D457" s="37" t="str">
        <x:v>Scoring, ranking &amp; matching logic</x:v>
      </x:c>
      <x:c r="E457" s="37" t="str">
        <x:v>Expansion</x:v>
      </x:c>
      <x:c r="F457" s="37" t="str">
        <x:v>Flexible / later only</x:v>
      </x:c>
      <x:c r="G457" s="37" t="str">
        <x:v>The Literalizer / Bullshit X-Ray: Transparent scorecards, requirements matching, routes, and tie-break explanations.</x:v>
      </x:c>
      <x:c r="H457" s="38" t="str">
        <x:v>Literalizer editions, widgets/API, Lee Gull &amp; Otis M entertainment layer.</x:v>
      </x:c>
    </x:row>
    <x:row r="458" ht="48" customHeight="1">
      <x:c r="A458" s="60" t="str">
        <x:v>DOS-025</x:v>
      </x:c>
      <x:c r="B458" s="37" t="str">
        <x:v>Community Outreach Platform</x:v>
      </x:c>
      <x:c r="C458" s="37" t="str">
        <x:v>FAM-01</x:v>
      </x:c>
      <x:c r="D458" s="37" t="str">
        <x:v>Responsive web / PWA interface</x:v>
      </x:c>
      <x:c r="E458" s="37" t="str">
        <x:v>Must</x:v>
      </x:c>
      <x:c r="F458" s="37" t="str">
        <x:v>Strict-route gate</x:v>
      </x:c>
      <x:c r="G458" s="37" t="str">
        <x:v>Community Outreach Platform: Mobile-first responsive screens and app-like web navigation.</x:v>
      </x:c>
      <x:c r="H458" s="38" t="str">
        <x:v>Narrow Atlantic City pilot: essential user profiles, resource directory, needs/action plan, consent/privacy, basic reminders.</x:v>
      </x:c>
    </x:row>
    <x:row r="459" ht="48" customHeight="1">
      <x:c r="A459" s="60" t="str">
        <x:v>DOS-025</x:v>
      </x:c>
      <x:c r="B459" s="37" t="str">
        <x:v>Community Outreach Platform</x:v>
      </x:c>
      <x:c r="C459" s="37" t="str">
        <x:v>FAM-03</x:v>
      </x:c>
      <x:c r="D459" s="37" t="str">
        <x:v>Authentication, identity &amp; roles</x:v>
      </x:c>
      <x:c r="E459" s="37" t="str">
        <x:v>Must</x:v>
      </x:c>
      <x:c r="F459" s="37" t="str">
        <x:v>Strict-route gate</x:v>
      </x:c>
      <x:c r="G459" s="37" t="str">
        <x:v>Community Outreach Platform: Sign-in, role-aware access, member identity, and permissions.</x:v>
      </x:c>
      <x:c r="H459" s="38" t="str">
        <x:v>Narrow Atlantic City pilot: essential user profiles, resource directory, needs/action plan, consent/privacy, basic reminders.</x:v>
      </x:c>
    </x:row>
    <x:row r="460" ht="48" customHeight="1">
      <x:c r="A460" s="60" t="str">
        <x:v>DOS-025</x:v>
      </x:c>
      <x:c r="B460" s="37" t="str">
        <x:v>Community Outreach Platform</x:v>
      </x:c>
      <x:c r="C460" s="37" t="str">
        <x:v>FAM-04</x:v>
      </x:c>
      <x:c r="D460" s="37" t="str">
        <x:v>Profiles, portfolios &amp; relationship records</x:v>
      </x:c>
      <x:c r="E460" s="37" t="str">
        <x:v>Must</x:v>
      </x:c>
      <x:c r="F460" s="37" t="str">
        <x:v>Strict-route gate</x:v>
      </x:c>
      <x:c r="G460" s="37" t="str">
        <x:v>Community Outreach Platform: Persistent user/member/creator profiles and linked relationships.</x:v>
      </x:c>
      <x:c r="H460" s="38" t="str">
        <x:v>Narrow Atlantic City pilot: essential user profiles, resource directory, needs/action plan, consent/privacy, basic reminders.</x:v>
      </x:c>
    </x:row>
    <x:row r="461" ht="48" customHeight="1">
      <x:c r="A461" s="60" t="str">
        <x:v>DOS-025</x:v>
      </x:c>
      <x:c r="B461" s="37" t="str">
        <x:v>Community Outreach Platform</x:v>
      </x:c>
      <x:c r="C461" s="37" t="str">
        <x:v>FAM-05</x:v>
      </x:c>
      <x:c r="D461" s="37" t="str">
        <x:v>Structured database &amp; persistent records</x:v>
      </x:c>
      <x:c r="E461" s="37" t="str">
        <x:v>Must</x:v>
      </x:c>
      <x:c r="F461" s="37" t="str">
        <x:v>Strict-route gate</x:v>
      </x:c>
      <x:c r="G461" s="37" t="str">
        <x:v>Community Outreach Platform: Reliable structured data storage, retrieval, and updates.</x:v>
      </x:c>
      <x:c r="H461" s="38" t="str">
        <x:v>Narrow Atlantic City pilot: essential user profiles, resource directory, needs/action plan, consent/privacy, basic reminders.</x:v>
      </x:c>
    </x:row>
    <x:row r="462" ht="48" customHeight="1">
      <x:c r="A462" s="60" t="str">
        <x:v>DOS-025</x:v>
      </x:c>
      <x:c r="B462" s="37" t="str">
        <x:v>Community Outreach Platform</x:v>
      </x:c>
      <x:c r="C462" s="37" t="str">
        <x:v>FAM-06</x:v>
      </x:c>
      <x:c r="D462" s="37" t="str">
        <x:v>Search, filters, lists &amp; directories</x:v>
      </x:c>
      <x:c r="E462" s="37" t="str">
        <x:v>Must</x:v>
      </x:c>
      <x:c r="F462" s="37" t="str">
        <x:v>Strict-route gate</x:v>
      </x:c>
      <x:c r="G462" s="37" t="str">
        <x:v>Community Outreach Platform: Searchable libraries, member lists, catalog browsing, and filtered views.</x:v>
      </x:c>
      <x:c r="H462" s="38" t="str">
        <x:v>Narrow Atlantic City pilot: essential user profiles, resource directory, needs/action plan, consent/privacy, basic reminders.</x:v>
      </x:c>
    </x:row>
    <x:row r="463" ht="48" customHeight="1">
      <x:c r="A463" s="60" t="str">
        <x:v>DOS-025</x:v>
      </x:c>
      <x:c r="B463" s="37" t="str">
        <x:v>Community Outreach Platform</x:v>
      </x:c>
      <x:c r="C463" s="37" t="str">
        <x:v>FAM-20</x:v>
      </x:c>
      <x:c r="D463" s="37" t="str">
        <x:v>Notifications, reminders &amp; deadlines</x:v>
      </x:c>
      <x:c r="E463" s="37" t="str">
        <x:v>Must</x:v>
      </x:c>
      <x:c r="F463" s="37" t="str">
        <x:v>Strict-route gate</x:v>
      </x:c>
      <x:c r="G463" s="37" t="str">
        <x:v>Community Outreach Platform: Push/email/in-app reminders, scheduled tasks, and time-bound flows.</x:v>
      </x:c>
      <x:c r="H463" s="38" t="str">
        <x:v>Narrow Atlantic City pilot: essential user profiles, resource directory, needs/action plan, consent/privacy, basic reminders.</x:v>
      </x:c>
    </x:row>
    <x:row r="464" ht="48" customHeight="1">
      <x:c r="A464" s="60" t="str">
        <x:v>DOS-025</x:v>
      </x:c>
      <x:c r="B464" s="37" t="str">
        <x:v>Community Outreach Platform</x:v>
      </x:c>
      <x:c r="C464" s="37" t="str">
        <x:v>FAM-33</x:v>
      </x:c>
      <x:c r="D464" s="37" t="str">
        <x:v>Location, scheduling &amp; service coordination</x:v>
      </x:c>
      <x:c r="E464" s="37" t="str">
        <x:v>Must</x:v>
      </x:c>
      <x:c r="F464" s="37" t="str">
        <x:v>Strict-route gate</x:v>
      </x:c>
      <x:c r="G464" s="37" t="str">
        <x:v>Community Outreach Platform: Maps, appointments, resources, availability, or geographic service coordination.</x:v>
      </x:c>
      <x:c r="H464" s="38" t="str">
        <x:v>Narrow Atlantic City pilot: essential user profiles, resource directory, needs/action plan, consent/privacy, basic reminders.</x:v>
      </x:c>
    </x:row>
    <x:row r="465" ht="48" customHeight="1">
      <x:c r="A465" s="60" t="str">
        <x:v>DOS-025</x:v>
      </x:c>
      <x:c r="B465" s="37" t="str">
        <x:v>Community Outreach Platform</x:v>
      </x:c>
      <x:c r="C465" s="37" t="str">
        <x:v>FAM-35</x:v>
      </x:c>
      <x:c r="D465" s="37" t="str">
        <x:v>Privacy, consent &amp; audit trail</x:v>
      </x:c>
      <x:c r="E465" s="37" t="str">
        <x:v>Must</x:v>
      </x:c>
      <x:c r="F465" s="37" t="str">
        <x:v>Strict-route gate</x:v>
      </x:c>
      <x:c r="G465" s="37" t="str">
        <x:v>Community Outreach Platform: Consent, retention, access controls, provenance, and auditable actions.</x:v>
      </x:c>
      <x:c r="H465" s="38" t="str">
        <x:v>Narrow Atlantic City pilot: essential user profiles, resource directory, needs/action plan, consent/privacy, basic reminders.</x:v>
      </x:c>
    </x:row>
    <x:row r="466" ht="48" customHeight="1">
      <x:c r="A466" s="60" t="str">
        <x:v>DOS-025</x:v>
      </x:c>
      <x:c r="B466" s="37" t="str">
        <x:v>Community Outreach Platform</x:v>
      </x:c>
      <x:c r="C466" s="37" t="str">
        <x:v>FAM-02</x:v>
      </x:c>
      <x:c r="D466" s="37" t="str">
        <x:v>Android/mobile builder workability</x:v>
      </x:c>
      <x:c r="E466" s="37" t="str">
        <x:v>Important</x:v>
      </x:c>
      <x:c r="F466" s="37" t="str">
        <x:v>Score after gates</x:v>
      </x:c>
      <x:c r="G466" s="37" t="str">
        <x:v>Community Outreach Platform: Derek can build, edit, preview, test, and deploy with reasonable Android/mobile friction.</x:v>
      </x:c>
      <x:c r="H466" s="38" t="str">
        <x:v>Start practitioner/admin guided with non-sensitive data; defer location/emergency and broad AI advocacy.</x:v>
      </x:c>
    </x:row>
    <x:row r="467" ht="48" customHeight="1">
      <x:c r="A467" s="60" t="str">
        <x:v>DOS-025</x:v>
      </x:c>
      <x:c r="B467" s="37" t="str">
        <x:v>Community Outreach Platform</x:v>
      </x:c>
      <x:c r="C467" s="37" t="str">
        <x:v>FAM-07</x:v>
      </x:c>
      <x:c r="D467" s="37" t="str">
        <x:v>File intake, storage &amp; lifecycle</x:v>
      </x:c>
      <x:c r="E467" s="37" t="str">
        <x:v>Important</x:v>
      </x:c>
      <x:c r="F467" s="37" t="str">
        <x:v>Score after gates</x:v>
      </x:c>
      <x:c r="G467" s="37" t="str">
        <x:v>Community Outreach Platform: Upload/import, validation, storage, retention, and file-size handling.</x:v>
      </x:c>
      <x:c r="H467" s="38" t="str">
        <x:v>Start practitioner/admin guided with non-sensitive data; defer location/emergency and broad AI advocacy.</x:v>
      </x:c>
    </x:row>
    <x:row r="468" ht="48" customHeight="1">
      <x:c r="A468" s="60" t="str">
        <x:v>DOS-025</x:v>
      </x:c>
      <x:c r="B468" s="37" t="str">
        <x:v>Community Outreach Platform</x:v>
      </x:c>
      <x:c r="C468" s="37" t="str">
        <x:v>FAM-15</x:v>
      </x:c>
      <x:c r="D468" s="37" t="str">
        <x:v>Social, realtime &amp; collaboration</x:v>
      </x:c>
      <x:c r="E468" s="37" t="str">
        <x:v>Important</x:v>
      </x:c>
      <x:c r="F468" s="37" t="str">
        <x:v>Score after gates</x:v>
      </x:c>
      <x:c r="G468" s="37" t="str">
        <x:v>Community Outreach Platform: Feeds, messaging, groups, sharing, realtime updates, or multi-user creation.</x:v>
      </x:c>
      <x:c r="H468" s="38" t="str">
        <x:v>Start practitioner/admin guided with non-sensitive data; defer location/emergency and broad AI advocacy.</x:v>
      </x:c>
    </x:row>
    <x:row r="469" ht="48" customHeight="1">
      <x:c r="A469" s="60" t="str">
        <x:v>DOS-025</x:v>
      </x:c>
      <x:c r="B469" s="37" t="str">
        <x:v>Community Outreach Platform</x:v>
      </x:c>
      <x:c r="C469" s="37" t="str">
        <x:v>FAM-16</x:v>
      </x:c>
      <x:c r="D469" s="37" t="str">
        <x:v>Content moderation &amp; reporting</x:v>
      </x:c>
      <x:c r="E469" s="37" t="str">
        <x:v>Important</x:v>
      </x:c>
      <x:c r="F469" s="37" t="str">
        <x:v>Score after gates</x:v>
      </x:c>
      <x:c r="G469" s="37" t="str">
        <x:v>Community Outreach Platform: Reports, queues, permissions, review actions, and community safety controls.</x:v>
      </x:c>
      <x:c r="H469" s="38" t="str">
        <x:v>Start practitioner/admin guided with non-sensitive data; defer location/emergency and broad AI advocacy.</x:v>
      </x:c>
    </x:row>
    <x:row r="470" ht="48" customHeight="1">
      <x:c r="A470" s="60" t="str">
        <x:v>DOS-025</x:v>
      </x:c>
      <x:c r="B470" s="37" t="str">
        <x:v>Community Outreach Platform</x:v>
      </x:c>
      <x:c r="C470" s="37" t="str">
        <x:v>FAM-21</x:v>
      </x:c>
      <x:c r="D470" s="37" t="str">
        <x:v>Automations, webhooks &amp; scheduled jobs</x:v>
      </x:c>
      <x:c r="E470" s="37" t="str">
        <x:v>Important</x:v>
      </x:c>
      <x:c r="F470" s="37" t="str">
        <x:v>Score after gates</x:v>
      </x:c>
      <x:c r="G470" s="37" t="str">
        <x:v>Community Outreach Platform: Event-driven workflows, scheduled tasks, background processes, and webhooks.</x:v>
      </x:c>
      <x:c r="H470" s="38" t="str">
        <x:v>Start practitioner/admin guided with non-sensitive data; defer location/emergency and broad AI advocacy.</x:v>
      </x:c>
    </x:row>
    <x:row r="471" ht="48" customHeight="1">
      <x:c r="A471" s="60" t="str">
        <x:v>DOS-025</x:v>
      </x:c>
      <x:c r="B471" s="37" t="str">
        <x:v>Community Outreach Platform</x:v>
      </x:c>
      <x:c r="C471" s="37" t="str">
        <x:v>FAM-22</x:v>
      </x:c>
      <x:c r="D471" s="37" t="str">
        <x:v>APIs &amp; third-party integrations</x:v>
      </x:c>
      <x:c r="E471" s="37" t="str">
        <x:v>Important</x:v>
      </x:c>
      <x:c r="F471" s="37" t="str">
        <x:v>Score after gates</x:v>
      </x:c>
      <x:c r="G471" s="37" t="str">
        <x:v>Community Outreach Platform: External services, social/export targets, payment providers, and service connectors.</x:v>
      </x:c>
      <x:c r="H471" s="38" t="str">
        <x:v>Start practitioner/admin guided with non-sensitive data; defer location/emergency and broad AI advocacy.</x:v>
      </x:c>
    </x:row>
    <x:row r="472" ht="48" customHeight="1">
      <x:c r="A472" s="60" t="str">
        <x:v>DOS-025</x:v>
      </x:c>
      <x:c r="B472" s="37" t="str">
        <x:v>Community Outreach Platform</x:v>
      </x:c>
      <x:c r="C472" s="37" t="str">
        <x:v>FAM-24</x:v>
      </x:c>
      <x:c r="D472" s="37" t="str">
        <x:v>Export, publishing &amp; share routes</x:v>
      </x:c>
      <x:c r="E472" s="37" t="str">
        <x:v>Important</x:v>
      </x:c>
      <x:c r="F472" s="37" t="str">
        <x:v>Score after gates</x:v>
      </x:c>
      <x:c r="G472" s="37" t="str">
        <x:v>Community Outreach Platform: Download/export, social publishing, share links, and portable output packages.</x:v>
      </x:c>
      <x:c r="H472" s="38" t="str">
        <x:v>Start practitioner/admin guided with non-sensitive data; defer location/emergency and broad AI advocacy.</x:v>
      </x:c>
    </x:row>
    <x:row r="473" ht="48" customHeight="1">
      <x:c r="A473" s="60" t="str">
        <x:v>DOS-025</x:v>
      </x:c>
      <x:c r="B473" s="37" t="str">
        <x:v>Community Outreach Platform</x:v>
      </x:c>
      <x:c r="C473" s="37" t="str">
        <x:v>FAM-26</x:v>
      </x:c>
      <x:c r="D473" s="37" t="str">
        <x:v>Admin, CMS &amp; operational management</x:v>
      </x:c>
      <x:c r="E473" s="37" t="str">
        <x:v>Important</x:v>
      </x:c>
      <x:c r="F473" s="37" t="str">
        <x:v>Score after gates</x:v>
      </x:c>
      <x:c r="G473" s="37" t="str">
        <x:v>Community Outreach Platform: Admin views, content management, operational review, and human overrides.</x:v>
      </x:c>
      <x:c r="H473" s="38" t="str">
        <x:v>Start practitioner/admin guided with non-sensitive data; defer location/emergency and broad AI advocacy.</x:v>
      </x:c>
    </x:row>
    <x:row r="474" ht="48" customHeight="1">
      <x:c r="A474" s="60" t="str">
        <x:v>DOS-025</x:v>
      </x:c>
      <x:c r="B474" s="37" t="str">
        <x:v>Community Outreach Platform</x:v>
      </x:c>
      <x:c r="C474" s="37" t="str">
        <x:v>FAM-29</x:v>
      </x:c>
      <x:c r="D474" s="37" t="str">
        <x:v>Backend functions, APIs &amp; background compute</x:v>
      </x:c>
      <x:c r="E474" s="37" t="str">
        <x:v>Important</x:v>
      </x:c>
      <x:c r="F474" s="37" t="str">
        <x:v>Score after gates</x:v>
      </x:c>
      <x:c r="G474" s="37" t="str">
        <x:v>Community Outreach Platform: Server functions, secure APIs, logs, queues, scheduled tasks, and secrets.</x:v>
      </x:c>
      <x:c r="H474" s="38" t="str">
        <x:v>Start practitioner/admin guided with non-sensitive data; defer location/emergency and broad AI advocacy.</x:v>
      </x:c>
    </x:row>
    <x:row r="475" ht="48" customHeight="1">
      <x:c r="A475" s="60" t="str">
        <x:v>DOS-025</x:v>
      </x:c>
      <x:c r="B475" s="37" t="str">
        <x:v>Community Outreach Platform</x:v>
      </x:c>
      <x:c r="C475" s="37" t="str">
        <x:v>FAM-12</x:v>
      </x:c>
      <x:c r="D475" s="37" t="str">
        <x:v>AI text generation, analysis &amp; agents</x:v>
      </x:c>
      <x:c r="E475" s="37" t="str">
        <x:v>Expansion</x:v>
      </x:c>
      <x:c r="F475" s="37" t="str">
        <x:v>Flexible / later only</x:v>
      </x:c>
      <x:c r="G475" s="37" t="str">
        <x:v>Community Outreach Platform: Prompted generation, classification, summarization, reasoning, or assistant behavior.</x:v>
      </x:c>
      <x:c r="H475" s="38" t="str">
        <x:v>Family/emergency layer, optional location, advocacy agent, multi-agency coordination.</x:v>
      </x:c>
    </x:row>
    <x:row r="476" ht="48" customHeight="1">
      <x:c r="A476" s="60" t="str">
        <x:v>DOS-025</x:v>
      </x:c>
      <x:c r="B476" s="37" t="str">
        <x:v>Community Outreach Platform</x:v>
      </x:c>
      <x:c r="C476" s="37" t="str">
        <x:v>FAM-17</x:v>
      </x:c>
      <x:c r="D476" s="37" t="str">
        <x:v>Payments, subscriptions &amp; billing</x:v>
      </x:c>
      <x:c r="E476" s="37" t="str">
        <x:v>Expansion</x:v>
      </x:c>
      <x:c r="F476" s="37" t="str">
        <x:v>Flexible / later only</x:v>
      </x:c>
      <x:c r="G476" s="37" t="str">
        <x:v>Community Outreach Platform: Payments, subscriptions, checkout, entitlements, and billing-aware workflows.</x:v>
      </x:c>
      <x:c r="H476" s="38" t="str">
        <x:v>Family/emergency layer, optional location, advocacy agent, multi-agency coordination.</x:v>
      </x:c>
    </x:row>
    <x:row r="477" ht="48" customHeight="1">
      <x:c r="A477" s="60" t="str">
        <x:v>DOS-025</x:v>
      </x:c>
      <x:c r="B477" s="37" t="str">
        <x:v>Community Outreach Platform</x:v>
      </x:c>
      <x:c r="C477" s="37" t="str">
        <x:v>FAM-25</x:v>
      </x:c>
      <x:c r="D477" s="37" t="str">
        <x:v>Analytics, reporting &amp; decision dashboards</x:v>
      </x:c>
      <x:c r="E477" s="37" t="str">
        <x:v>Expansion</x:v>
      </x:c>
      <x:c r="F477" s="37" t="str">
        <x:v>Flexible / later only</x:v>
      </x:c>
      <x:c r="G477" s="37" t="str">
        <x:v>Community Outreach Platform: Usage metrics, charts, rankings, reporting, and decision support.</x:v>
      </x:c>
      <x:c r="H477" s="38" t="str">
        <x:v>Family/emergency layer, optional location, advocacy agent, multi-agency coordination.</x:v>
      </x:c>
    </x:row>
    <x:row r="478" ht="48" customHeight="1">
      <x:c r="A478" s="60" t="str">
        <x:v>DOS-025</x:v>
      </x:c>
      <x:c r="B478" s="37" t="str">
        <x:v>Community Outreach Platform</x:v>
      </x:c>
      <x:c r="C478" s="37" t="str">
        <x:v>FAM-31</x:v>
      </x:c>
      <x:c r="D478" s="37" t="str">
        <x:v>Teams, co-creation &amp; permissions</x:v>
      </x:c>
      <x:c r="E478" s="37" t="str">
        <x:v>Expansion</x:v>
      </x:c>
      <x:c r="F478" s="37" t="str">
        <x:v>Flexible / later only</x:v>
      </x:c>
      <x:c r="G478" s="37" t="str">
        <x:v>Community Outreach Platform: Multi-person workspaces, collaboration, ownership boundaries, and team roles.</x:v>
      </x:c>
      <x:c r="H478" s="38" t="str">
        <x:v>Family/emergency layer, optional location, advocacy agent, multi-agency coordination.</x:v>
      </x:c>
    </x:row>
    <x:row r="479" ht="48" customHeight="1">
      <x:c r="A479" s="60" t="str">
        <x:v>DOS-026</x:v>
      </x:c>
      <x:c r="B479" s="37" t="str">
        <x:v>Wedding Disposable Camera</x:v>
      </x:c>
      <x:c r="C479" s="37" t="str">
        <x:v>FAM-01</x:v>
      </x:c>
      <x:c r="D479" s="37" t="str">
        <x:v>Responsive web / PWA interface</x:v>
      </x:c>
      <x:c r="E479" s="37" t="str">
        <x:v>Must</x:v>
      </x:c>
      <x:c r="F479" s="37" t="str">
        <x:v>Strict-route gate</x:v>
      </x:c>
      <x:c r="G479" s="37" t="str">
        <x:v>Wedding Disposable Camera: Mobile-first responsive screens and app-like web navigation.</x:v>
      </x:c>
      <x:c r="H479" s="38" t="str">
        <x:v>Event page/code, mobile photo intake, album lifecycle, reveal date, paid event checkout, theme.</x:v>
      </x:c>
    </x:row>
    <x:row r="480" ht="48" customHeight="1">
      <x:c r="A480" s="60" t="str">
        <x:v>DOS-026</x:v>
      </x:c>
      <x:c r="B480" s="37" t="str">
        <x:v>Wedding Disposable Camera</x:v>
      </x:c>
      <x:c r="C480" s="37" t="str">
        <x:v>FAM-05</x:v>
      </x:c>
      <x:c r="D480" s="37" t="str">
        <x:v>Structured database &amp; persistent records</x:v>
      </x:c>
      <x:c r="E480" s="37" t="str">
        <x:v>Must</x:v>
      </x:c>
      <x:c r="F480" s="37" t="str">
        <x:v>Strict-route gate</x:v>
      </x:c>
      <x:c r="G480" s="37" t="str">
        <x:v>Wedding Disposable Camera: Reliable structured data storage, retrieval, and updates.</x:v>
      </x:c>
      <x:c r="H480" s="38" t="str">
        <x:v>Event page/code, mobile photo intake, album lifecycle, reveal date, paid event checkout, theme.</x:v>
      </x:c>
    </x:row>
    <x:row r="481" ht="48" customHeight="1">
      <x:c r="A481" s="60" t="str">
        <x:v>DOS-026</x:v>
      </x:c>
      <x:c r="B481" s="37" t="str">
        <x:v>Wedding Disposable Camera</x:v>
      </x:c>
      <x:c r="C481" s="37" t="str">
        <x:v>FAM-07</x:v>
      </x:c>
      <x:c r="D481" s="37" t="str">
        <x:v>File intake, storage &amp; lifecycle</x:v>
      </x:c>
      <x:c r="E481" s="37" t="str">
        <x:v>Must</x:v>
      </x:c>
      <x:c r="F481" s="37" t="str">
        <x:v>Strict-route gate</x:v>
      </x:c>
      <x:c r="G481" s="37" t="str">
        <x:v>Wedding Disposable Camera: Upload/import, validation, storage, retention, and file-size handling.</x:v>
      </x:c>
      <x:c r="H481" s="38" t="str">
        <x:v>Event page/code, mobile photo intake, album lifecycle, reveal date, paid event checkout, theme.</x:v>
      </x:c>
    </x:row>
    <x:row r="482" ht="48" customHeight="1">
      <x:c r="A482" s="60" t="str">
        <x:v>DOS-026</x:v>
      </x:c>
      <x:c r="B482" s="37" t="str">
        <x:v>Wedding Disposable Camera</x:v>
      </x:c>
      <x:c r="C482" s="37" t="str">
        <x:v>FAM-10</x:v>
      </x:c>
      <x:c r="D482" s="37" t="str">
        <x:v>Video, reels &amp; slideshow workflow</x:v>
      </x:c>
      <x:c r="E482" s="37" t="str">
        <x:v>Must</x:v>
      </x:c>
      <x:c r="F482" s="37" t="str">
        <x:v>Strict-route gate</x:v>
      </x:c>
      <x:c r="G482" s="37" t="str">
        <x:v>Wedding Disposable Camera: Video playback/upload, timed slideshows, reels, rendering, and video export.</x:v>
      </x:c>
      <x:c r="H482" s="38" t="str">
        <x:v>Event page/code, mobile photo intake, album lifecycle, reveal date, paid event checkout, theme.</x:v>
      </x:c>
    </x:row>
    <x:row r="483" ht="48" customHeight="1">
      <x:c r="A483" s="60" t="str">
        <x:v>DOS-026</x:v>
      </x:c>
      <x:c r="B483" s="37" t="str">
        <x:v>Wedding Disposable Camera</x:v>
      </x:c>
      <x:c r="C483" s="37" t="str">
        <x:v>FAM-23</x:v>
      </x:c>
      <x:c r="D483" s="37" t="str">
        <x:v>Public website, SEO &amp; domain control</x:v>
      </x:c>
      <x:c r="E483" s="37" t="str">
        <x:v>Must</x:v>
      </x:c>
      <x:c r="F483" s="37" t="str">
        <x:v>Strict-route gate</x:v>
      </x:c>
      <x:c r="G483" s="37" t="str">
        <x:v>Wedding Disposable Camera: Public pages, discoverability, custom domain, shareability, and search metadata.</x:v>
      </x:c>
      <x:c r="H483" s="38" t="str">
        <x:v>Event page/code, mobile photo intake, album lifecycle, reveal date, paid event checkout, theme.</x:v>
      </x:c>
    </x:row>
    <x:row r="484" ht="48" customHeight="1">
      <x:c r="A484" s="60" t="str">
        <x:v>DOS-026</x:v>
      </x:c>
      <x:c r="B484" s="37" t="str">
        <x:v>Wedding Disposable Camera</x:v>
      </x:c>
      <x:c r="C484" s="37" t="str">
        <x:v>FAM-24</x:v>
      </x:c>
      <x:c r="D484" s="37" t="str">
        <x:v>Export, publishing &amp; share routes</x:v>
      </x:c>
      <x:c r="E484" s="37" t="str">
        <x:v>Must</x:v>
      </x:c>
      <x:c r="F484" s="37" t="str">
        <x:v>Strict-route gate</x:v>
      </x:c>
      <x:c r="G484" s="37" t="str">
        <x:v>Wedding Disposable Camera: Download/export, social publishing, share links, and portable output packages.</x:v>
      </x:c>
      <x:c r="H484" s="38" t="str">
        <x:v>Event page/code, mobile photo intake, album lifecycle, reveal date, paid event checkout, theme.</x:v>
      </x:c>
    </x:row>
    <x:row r="485" ht="48" customHeight="1">
      <x:c r="A485" s="60" t="str">
        <x:v>DOS-026</x:v>
      </x:c>
      <x:c r="B485" s="37" t="str">
        <x:v>Wedding Disposable Camera</x:v>
      </x:c>
      <x:c r="C485" s="37" t="str">
        <x:v>FAM-40</x:v>
      </x:c>
      <x:c r="D485" s="37" t="str">
        <x:v>Research, validation &amp; launch experiment</x:v>
      </x:c>
      <x:c r="E485" s="37" t="str">
        <x:v>Must</x:v>
      </x:c>
      <x:c r="F485" s="37" t="str">
        <x:v>Strict-route gate</x:v>
      </x:c>
      <x:c r="G485" s="37" t="str">
        <x:v>Wedding Disposable Camera: Landing tests, surveys, waitlists, hypotheses, experiments, and evidence capture.</x:v>
      </x:c>
      <x:c r="H485" s="38" t="str">
        <x:v>Event page/code, mobile photo intake, album lifecycle, reveal date, paid event checkout, theme.</x:v>
      </x:c>
    </x:row>
    <x:row r="486" ht="48" customHeight="1">
      <x:c r="A486" s="60" t="str">
        <x:v>DOS-026</x:v>
      </x:c>
      <x:c r="B486" s="37" t="str">
        <x:v>Wedding Disposable Camera</x:v>
      </x:c>
      <x:c r="C486" s="37" t="str">
        <x:v>FAM-02</x:v>
      </x:c>
      <x:c r="D486" s="37" t="str">
        <x:v>Android/mobile builder workability</x:v>
      </x:c>
      <x:c r="E486" s="37" t="str">
        <x:v>Important</x:v>
      </x:c>
      <x:c r="F486" s="37" t="str">
        <x:v>Score after gates</x:v>
      </x:c>
      <x:c r="G486" s="37" t="str">
        <x:v>Wedding Disposable Camera: Derek can build, edit, preview, test, and deploy with reasonable Android/mobile friction.</x:v>
      </x:c>
      <x:c r="H486" s="38" t="str">
        <x:v>No-account event route and basic photo storage; defer AI editing/social network.</x:v>
      </x:c>
    </x:row>
    <x:row r="487" ht="48" customHeight="1">
      <x:c r="A487" s="60" t="str">
        <x:v>DOS-026</x:v>
      </x:c>
      <x:c r="B487" s="37" t="str">
        <x:v>Wedding Disposable Camera</x:v>
      </x:c>
      <x:c r="C487" s="37" t="str">
        <x:v>FAM-03</x:v>
      </x:c>
      <x:c r="D487" s="37" t="str">
        <x:v>Authentication, identity &amp; roles</x:v>
      </x:c>
      <x:c r="E487" s="37" t="str">
        <x:v>Important</x:v>
      </x:c>
      <x:c r="F487" s="37" t="str">
        <x:v>Score after gates</x:v>
      </x:c>
      <x:c r="G487" s="37" t="str">
        <x:v>Wedding Disposable Camera: Sign-in, role-aware access, member identity, and permissions.</x:v>
      </x:c>
      <x:c r="H487" s="38" t="str">
        <x:v>No-account event route and basic photo storage; defer AI editing/social network.</x:v>
      </x:c>
    </x:row>
    <x:row r="488" ht="48" customHeight="1">
      <x:c r="A488" s="60" t="str">
        <x:v>DOS-026</x:v>
      </x:c>
      <x:c r="B488" s="37" t="str">
        <x:v>Wedding Disposable Camera</x:v>
      </x:c>
      <x:c r="C488" s="37" t="str">
        <x:v>FAM-12</x:v>
      </x:c>
      <x:c r="D488" s="37" t="str">
        <x:v>AI text generation, analysis &amp; agents</x:v>
      </x:c>
      <x:c r="E488" s="37" t="str">
        <x:v>Important</x:v>
      </x:c>
      <x:c r="F488" s="37" t="str">
        <x:v>Score after gates</x:v>
      </x:c>
      <x:c r="G488" s="37" t="str">
        <x:v>Wedding Disposable Camera: Prompted generation, classification, summarization, reasoning, or assistant behavior.</x:v>
      </x:c>
      <x:c r="H488" s="38" t="str">
        <x:v>No-account event route and basic photo storage; defer AI editing/social network.</x:v>
      </x:c>
    </x:row>
    <x:row r="489" ht="48" customHeight="1">
      <x:c r="A489" s="60" t="str">
        <x:v>DOS-026</x:v>
      </x:c>
      <x:c r="B489" s="37" t="str">
        <x:v>Wedding Disposable Camera</x:v>
      </x:c>
      <x:c r="C489" s="37" t="str">
        <x:v>FAM-14</x:v>
      </x:c>
      <x:c r="D489" s="37" t="str">
        <x:v>Personalization, memory &amp; preferences</x:v>
      </x:c>
      <x:c r="E489" s="37" t="str">
        <x:v>Important</x:v>
      </x:c>
      <x:c r="F489" s="37" t="str">
        <x:v>Score after gates</x:v>
      </x:c>
      <x:c r="G489" s="37" t="str">
        <x:v>Wedding Disposable Camera: Saved preferences, history, source memory, and adaptive outputs.</x:v>
      </x:c>
      <x:c r="H489" s="38" t="str">
        <x:v>No-account event route and basic photo storage; defer AI editing/social network.</x:v>
      </x:c>
    </x:row>
    <x:row r="490" ht="48" customHeight="1">
      <x:c r="A490" s="60" t="str">
        <x:v>DOS-026</x:v>
      </x:c>
      <x:c r="B490" s="37" t="str">
        <x:v>Wedding Disposable Camera</x:v>
      </x:c>
      <x:c r="C490" s="37" t="str">
        <x:v>FAM-17</x:v>
      </x:c>
      <x:c r="D490" s="37" t="str">
        <x:v>Payments, subscriptions &amp; billing</x:v>
      </x:c>
      <x:c r="E490" s="37" t="str">
        <x:v>Important</x:v>
      </x:c>
      <x:c r="F490" s="37" t="str">
        <x:v>Score after gates</x:v>
      </x:c>
      <x:c r="G490" s="37" t="str">
        <x:v>Wedding Disposable Camera: Payments, subscriptions, checkout, entitlements, and billing-aware workflows.</x:v>
      </x:c>
      <x:c r="H490" s="38" t="str">
        <x:v>No-account event route and basic photo storage; defer AI editing/social network.</x:v>
      </x:c>
    </x:row>
    <x:row r="491" ht="48" customHeight="1">
      <x:c r="A491" s="60" t="str">
        <x:v>DOS-026</x:v>
      </x:c>
      <x:c r="B491" s="37" t="str">
        <x:v>Wedding Disposable Camera</x:v>
      </x:c>
      <x:c r="C491" s="37" t="str">
        <x:v>FAM-25</x:v>
      </x:c>
      <x:c r="D491" s="37" t="str">
        <x:v>Analytics, reporting &amp; decision dashboards</x:v>
      </x:c>
      <x:c r="E491" s="37" t="str">
        <x:v>Important</x:v>
      </x:c>
      <x:c r="F491" s="37" t="str">
        <x:v>Score after gates</x:v>
      </x:c>
      <x:c r="G491" s="37" t="str">
        <x:v>Wedding Disposable Camera: Usage metrics, charts, rankings, reporting, and decision support.</x:v>
      </x:c>
      <x:c r="H491" s="38" t="str">
        <x:v>No-account event route and basic photo storage; defer AI editing/social network.</x:v>
      </x:c>
    </x:row>
    <x:row r="492" ht="48" customHeight="1">
      <x:c r="A492" s="60" t="str">
        <x:v>DOS-026</x:v>
      </x:c>
      <x:c r="B492" s="37" t="str">
        <x:v>Wedding Disposable Camera</x:v>
      </x:c>
      <x:c r="C492" s="37" t="str">
        <x:v>FAM-27</x:v>
      </x:c>
      <x:c r="D492" s="37" t="str">
        <x:v>Portability, ownership &amp; escape path</x:v>
      </x:c>
      <x:c r="E492" s="37" t="str">
        <x:v>Important</x:v>
      </x:c>
      <x:c r="F492" s="37" t="str">
        <x:v>Score after gates</x:v>
      </x:c>
      <x:c r="G492" s="37" t="str">
        <x:v>Wedding Disposable Camera: Code/data export, GitHub, custom domains, migration, and lock-in control.</x:v>
      </x:c>
      <x:c r="H492" s="38" t="str">
        <x:v>No-account event route and basic photo storage; defer AI editing/social network.</x:v>
      </x:c>
    </x:row>
    <x:row r="493" ht="48" customHeight="1">
      <x:c r="A493" s="60" t="str">
        <x:v>DOS-026</x:v>
      </x:c>
      <x:c r="B493" s="37" t="str">
        <x:v>Wedding Disposable Camera</x:v>
      </x:c>
      <x:c r="C493" s="37" t="str">
        <x:v>FAM-15</x:v>
      </x:c>
      <x:c r="D493" s="37" t="str">
        <x:v>Social, realtime &amp; collaboration</x:v>
      </x:c>
      <x:c r="E493" s="37" t="str">
        <x:v>Expansion</x:v>
      </x:c>
      <x:c r="F493" s="37" t="str">
        <x:v>Flexible / later only</x:v>
      </x:c>
      <x:c r="G493" s="37" t="str">
        <x:v>Wedding Disposable Camera: Feeds, messaging, groups, sharing, realtime updates, or multi-user creation.</x:v>
      </x:c>
      <x:c r="H493" s="38" t="str">
        <x:v>Frames, AI album story, prints, vendor integrations.</x:v>
      </x:c>
    </x:row>
    <x:row r="494" ht="48" customHeight="1">
      <x:c r="A494" s="60" t="str">
        <x:v>DOS-026</x:v>
      </x:c>
      <x:c r="B494" s="37" t="str">
        <x:v>Wedding Disposable Camera</x:v>
      </x:c>
      <x:c r="C494" s="37" t="str">
        <x:v>FAM-19</x:v>
      </x:c>
      <x:c r="D494" s="37" t="str">
        <x:v>Rewards, badges &amp; entitlements</x:v>
      </x:c>
      <x:c r="E494" s="37" t="str">
        <x:v>Expansion</x:v>
      </x:c>
      <x:c r="F494" s="37" t="str">
        <x:v>Flexible / later only</x:v>
      </x:c>
      <x:c r="G494" s="37" t="str">
        <x:v>Wedding Disposable Camera: Loyalty, roles, rewards, badges, credits, and access logic.</x:v>
      </x:c>
      <x:c r="H494" s="38" t="str">
        <x:v>Frames, AI album story, prints, vendor integrations.</x:v>
      </x:c>
    </x:row>
    <x:row r="495" ht="48" customHeight="1">
      <x:c r="A495" s="60" t="str">
        <x:v>DOS-026</x:v>
      </x:c>
      <x:c r="B495" s="37" t="str">
        <x:v>Wedding Disposable Camera</x:v>
      </x:c>
      <x:c r="C495" s="37" t="str">
        <x:v>FAM-20</x:v>
      </x:c>
      <x:c r="D495" s="37" t="str">
        <x:v>Notifications, reminders &amp; deadlines</x:v>
      </x:c>
      <x:c r="E495" s="37" t="str">
        <x:v>Expansion</x:v>
      </x:c>
      <x:c r="F495" s="37" t="str">
        <x:v>Flexible / later only</x:v>
      </x:c>
      <x:c r="G495" s="37" t="str">
        <x:v>Wedding Disposable Camera: Push/email/in-app reminders, scheduled tasks, and time-bound flows.</x:v>
      </x:c>
      <x:c r="H495" s="38" t="str">
        <x:v>Frames, AI album story, prints, vendor integrations.</x:v>
      </x:c>
    </x:row>
    <x:row r="496" ht="48" customHeight="1">
      <x:c r="A496" s="60" t="str">
        <x:v>DOS-026</x:v>
      </x:c>
      <x:c r="B496" s="37" t="str">
        <x:v>Wedding Disposable Camera</x:v>
      </x:c>
      <x:c r="C496" s="37" t="str">
        <x:v>FAM-37</x:v>
      </x:c>
      <x:c r="D496" s="37" t="str">
        <x:v>Gamification, challenges &amp; progression</x:v>
      </x:c>
      <x:c r="E496" s="37" t="str">
        <x:v>Expansion</x:v>
      </x:c>
      <x:c r="F496" s="37" t="str">
        <x:v>Flexible / later only</x:v>
      </x:c>
      <x:c r="G496" s="37" t="str">
        <x:v>Wedding Disposable Camera: Challenges, points, levels, voting, collection, and progress systems.</x:v>
      </x:c>
      <x:c r="H496" s="38" t="str">
        <x:v>Frames, AI album story, prints, vendor integrations.</x:v>
      </x:c>
    </x:row>
    <x:row r="497" ht="48" customHeight="1">
      <x:c r="A497" s="60" t="str">
        <x:v>DOS-027</x:v>
      </x:c>
      <x:c r="B497" s="37" t="str">
        <x:v>Amateur AI Cinema &amp; Film Festival</x:v>
      </x:c>
      <x:c r="C497" s="37" t="str">
        <x:v>FAM-01</x:v>
      </x:c>
      <x:c r="D497" s="37" t="str">
        <x:v>Responsive web / PWA interface</x:v>
      </x:c>
      <x:c r="E497" s="37" t="str">
        <x:v>Must</x:v>
      </x:c>
      <x:c r="F497" s="37" t="str">
        <x:v>Strict-route gate</x:v>
      </x:c>
      <x:c r="G497" s="37" t="str">
        <x:v>Amateur AI Cinema &amp; Film Festival: Mobile-first responsive screens and app-like web navigation.</x:v>
      </x:c>
      <x:c r="H497" s="38" t="str">
        <x:v>Public site, submission rules, creator pages, screening schedule, simple upload/link handling, jury workflow.</x:v>
      </x:c>
    </x:row>
    <x:row r="498" ht="48" customHeight="1">
      <x:c r="A498" s="60" t="str">
        <x:v>DOS-027</x:v>
      </x:c>
      <x:c r="B498" s="37" t="str">
        <x:v>Amateur AI Cinema &amp; Film Festival</x:v>
      </x:c>
      <x:c r="C498" s="37" t="str">
        <x:v>FAM-03</x:v>
      </x:c>
      <x:c r="D498" s="37" t="str">
        <x:v>Authentication, identity &amp; roles</x:v>
      </x:c>
      <x:c r="E498" s="37" t="str">
        <x:v>Must</x:v>
      </x:c>
      <x:c r="F498" s="37" t="str">
        <x:v>Strict-route gate</x:v>
      </x:c>
      <x:c r="G498" s="37" t="str">
        <x:v>Amateur AI Cinema &amp; Film Festival: Sign-in, role-aware access, member identity, and permissions.</x:v>
      </x:c>
      <x:c r="H498" s="38" t="str">
        <x:v>Public site, submission rules, creator pages, screening schedule, simple upload/link handling, jury workflow.</x:v>
      </x:c>
    </x:row>
    <x:row r="499" ht="48" customHeight="1">
      <x:c r="A499" s="60" t="str">
        <x:v>DOS-027</x:v>
      </x:c>
      <x:c r="B499" s="37" t="str">
        <x:v>Amateur AI Cinema &amp; Film Festival</x:v>
      </x:c>
      <x:c r="C499" s="37" t="str">
        <x:v>FAM-04</x:v>
      </x:c>
      <x:c r="D499" s="37" t="str">
        <x:v>Profiles, portfolios &amp; relationship records</x:v>
      </x:c>
      <x:c r="E499" s="37" t="str">
        <x:v>Must</x:v>
      </x:c>
      <x:c r="F499" s="37" t="str">
        <x:v>Strict-route gate</x:v>
      </x:c>
      <x:c r="G499" s="37" t="str">
        <x:v>Amateur AI Cinema &amp; Film Festival: Persistent user/member/creator profiles and linked relationships.</x:v>
      </x:c>
      <x:c r="H499" s="38" t="str">
        <x:v>Public site, submission rules, creator pages, screening schedule, simple upload/link handling, jury workflow.</x:v>
      </x:c>
    </x:row>
    <x:row r="500" ht="48" customHeight="1">
      <x:c r="A500" s="60" t="str">
        <x:v>DOS-027</x:v>
      </x:c>
      <x:c r="B500" s="37" t="str">
        <x:v>Amateur AI Cinema &amp; Film Festival</x:v>
      </x:c>
      <x:c r="C500" s="37" t="str">
        <x:v>FAM-05</x:v>
      </x:c>
      <x:c r="D500" s="37" t="str">
        <x:v>Structured database &amp; persistent records</x:v>
      </x:c>
      <x:c r="E500" s="37" t="str">
        <x:v>Must</x:v>
      </x:c>
      <x:c r="F500" s="37" t="str">
        <x:v>Strict-route gate</x:v>
      </x:c>
      <x:c r="G500" s="37" t="str">
        <x:v>Amateur AI Cinema &amp; Film Festival: Reliable structured data storage, retrieval, and updates.</x:v>
      </x:c>
      <x:c r="H500" s="38" t="str">
        <x:v>Public site, submission rules, creator pages, screening schedule, simple upload/link handling, jury workflow.</x:v>
      </x:c>
    </x:row>
    <x:row r="501" ht="48" customHeight="1">
      <x:c r="A501" s="60" t="str">
        <x:v>DOS-027</x:v>
      </x:c>
      <x:c r="B501" s="37" t="str">
        <x:v>Amateur AI Cinema &amp; Film Festival</x:v>
      </x:c>
      <x:c r="C501" s="37" t="str">
        <x:v>FAM-06</x:v>
      </x:c>
      <x:c r="D501" s="37" t="str">
        <x:v>Search, filters, lists &amp; directories</x:v>
      </x:c>
      <x:c r="E501" s="37" t="str">
        <x:v>Must</x:v>
      </x:c>
      <x:c r="F501" s="37" t="str">
        <x:v>Strict-route gate</x:v>
      </x:c>
      <x:c r="G501" s="37" t="str">
        <x:v>Amateur AI Cinema &amp; Film Festival: Searchable libraries, member lists, catalog browsing, and filtered views.</x:v>
      </x:c>
      <x:c r="H501" s="38" t="str">
        <x:v>Public site, submission rules, creator pages, screening schedule, simple upload/link handling, jury workflow.</x:v>
      </x:c>
    </x:row>
    <x:row r="502" ht="48" customHeight="1">
      <x:c r="A502" s="60" t="str">
        <x:v>DOS-027</x:v>
      </x:c>
      <x:c r="B502" s="37" t="str">
        <x:v>Amateur AI Cinema &amp; Film Festival</x:v>
      </x:c>
      <x:c r="C502" s="37" t="str">
        <x:v>FAM-17</x:v>
      </x:c>
      <x:c r="D502" s="37" t="str">
        <x:v>Payments, subscriptions &amp; billing</x:v>
      </x:c>
      <x:c r="E502" s="37" t="str">
        <x:v>Must</x:v>
      </x:c>
      <x:c r="F502" s="37" t="str">
        <x:v>Strict-route gate</x:v>
      </x:c>
      <x:c r="G502" s="37" t="str">
        <x:v>Amateur AI Cinema &amp; Film Festival: Payments, subscriptions, checkout, entitlements, and billing-aware workflows.</x:v>
      </x:c>
      <x:c r="H502" s="38" t="str">
        <x:v>Public site, submission rules, creator pages, screening schedule, simple upload/link handling, jury workflow.</x:v>
      </x:c>
    </x:row>
    <x:row r="503" ht="48" customHeight="1">
      <x:c r="A503" s="60" t="str">
        <x:v>DOS-027</x:v>
      </x:c>
      <x:c r="B503" s="37" t="str">
        <x:v>Amateur AI Cinema &amp; Film Festival</x:v>
      </x:c>
      <x:c r="C503" s="37" t="str">
        <x:v>FAM-23</x:v>
      </x:c>
      <x:c r="D503" s="37" t="str">
        <x:v>Public website, SEO &amp; domain control</x:v>
      </x:c>
      <x:c r="E503" s="37" t="str">
        <x:v>Must</x:v>
      </x:c>
      <x:c r="F503" s="37" t="str">
        <x:v>Strict-route gate</x:v>
      </x:c>
      <x:c r="G503" s="37" t="str">
        <x:v>Amateur AI Cinema &amp; Film Festival: Public pages, discoverability, custom domain, shareability, and search metadata.</x:v>
      </x:c>
      <x:c r="H503" s="38" t="str">
        <x:v>Public site, submission rules, creator pages, screening schedule, simple upload/link handling, jury workflow.</x:v>
      </x:c>
    </x:row>
    <x:row r="504" ht="48" customHeight="1">
      <x:c r="A504" s="60" t="str">
        <x:v>DOS-027</x:v>
      </x:c>
      <x:c r="B504" s="37" t="str">
        <x:v>Amateur AI Cinema &amp; Film Festival</x:v>
      </x:c>
      <x:c r="C504" s="37" t="str">
        <x:v>FAM-26</x:v>
      </x:c>
      <x:c r="D504" s="37" t="str">
        <x:v>Admin, CMS &amp; operational management</x:v>
      </x:c>
      <x:c r="E504" s="37" t="str">
        <x:v>Must</x:v>
      </x:c>
      <x:c r="F504" s="37" t="str">
        <x:v>Strict-route gate</x:v>
      </x:c>
      <x:c r="G504" s="37" t="str">
        <x:v>Amateur AI Cinema &amp; Film Festival: Admin views, content management, operational review, and human overrides.</x:v>
      </x:c>
      <x:c r="H504" s="38" t="str">
        <x:v>Public site, submission rules, creator pages, screening schedule, simple upload/link handling, jury workflow.</x:v>
      </x:c>
    </x:row>
    <x:row r="505" ht="48" customHeight="1">
      <x:c r="A505" s="60" t="str">
        <x:v>DOS-027</x:v>
      </x:c>
      <x:c r="B505" s="37" t="str">
        <x:v>Amateur AI Cinema &amp; Film Festival</x:v>
      </x:c>
      <x:c r="C505" s="37" t="str">
        <x:v>FAM-32</x:v>
      </x:c>
      <x:c r="D505" s="37" t="str">
        <x:v>Marketplace, templates &amp; creator assets</x:v>
      </x:c>
      <x:c r="E505" s="37" t="str">
        <x:v>Must</x:v>
      </x:c>
      <x:c r="F505" s="37" t="str">
        <x:v>Strict-route gate</x:v>
      </x:c>
      <x:c r="G505" s="37" t="str">
        <x:v>Amateur AI Cinema &amp; Film Festival: Listings, reusable assets, creator publishing, reviews, and marketplace rules.</x:v>
      </x:c>
      <x:c r="H505" s="38" t="str">
        <x:v>Public site, submission rules, creator pages, screening schedule, simple upload/link handling, jury workflow.</x:v>
      </x:c>
    </x:row>
    <x:row r="506" ht="48" customHeight="1">
      <x:c r="A506" s="60" t="str">
        <x:v>DOS-027</x:v>
      </x:c>
      <x:c r="B506" s="37" t="str">
        <x:v>Amateur AI Cinema &amp; Film Festival</x:v>
      </x:c>
      <x:c r="C506" s="37" t="str">
        <x:v>FAM-02</x:v>
      </x:c>
      <x:c r="D506" s="37" t="str">
        <x:v>Android/mobile builder workability</x:v>
      </x:c>
      <x:c r="E506" s="37" t="str">
        <x:v>Important</x:v>
      </x:c>
      <x:c r="F506" s="37" t="str">
        <x:v>Score after gates</x:v>
      </x:c>
      <x:c r="G506" s="37" t="str">
        <x:v>Amateur AI Cinema &amp; Film Festival: Derek can build, edit, preview, test, and deploy with reasonable Android/mobile friction.</x:v>
      </x:c>
      <x:c r="H506" s="38" t="str">
        <x:v>Launch festival/service and curated showcase before a full creator platform.</x:v>
      </x:c>
    </x:row>
    <x:row r="507" ht="48" customHeight="1">
      <x:c r="A507" s="60" t="str">
        <x:v>DOS-027</x:v>
      </x:c>
      <x:c r="B507" s="37" t="str">
        <x:v>Amateur AI Cinema &amp; Film Festival</x:v>
      </x:c>
      <x:c r="C507" s="37" t="str">
        <x:v>FAM-07</x:v>
      </x:c>
      <x:c r="D507" s="37" t="str">
        <x:v>File intake, storage &amp; lifecycle</x:v>
      </x:c>
      <x:c r="E507" s="37" t="str">
        <x:v>Important</x:v>
      </x:c>
      <x:c r="F507" s="37" t="str">
        <x:v>Score after gates</x:v>
      </x:c>
      <x:c r="G507" s="37" t="str">
        <x:v>Amateur AI Cinema &amp; Film Festival: Upload/import, validation, storage, retention, and file-size handling.</x:v>
      </x:c>
      <x:c r="H507" s="38" t="str">
        <x:v>Launch festival/service and curated showcase before a full creator platform.</x:v>
      </x:c>
    </x:row>
    <x:row r="508" ht="48" customHeight="1">
      <x:c r="A508" s="60" t="str">
        <x:v>DOS-027</x:v>
      </x:c>
      <x:c r="B508" s="37" t="str">
        <x:v>Amateur AI Cinema &amp; Film Festival</x:v>
      </x:c>
      <x:c r="C508" s="37" t="str">
        <x:v>FAM-15</x:v>
      </x:c>
      <x:c r="D508" s="37" t="str">
        <x:v>Social, realtime &amp; collaboration</x:v>
      </x:c>
      <x:c r="E508" s="37" t="str">
        <x:v>Important</x:v>
      </x:c>
      <x:c r="F508" s="37" t="str">
        <x:v>Score after gates</x:v>
      </x:c>
      <x:c r="G508" s="37" t="str">
        <x:v>Amateur AI Cinema &amp; Film Festival: Feeds, messaging, groups, sharing, realtime updates, or multi-user creation.</x:v>
      </x:c>
      <x:c r="H508" s="38" t="str">
        <x:v>Launch festival/service and curated showcase before a full creator platform.</x:v>
      </x:c>
    </x:row>
    <x:row r="509" ht="48" customHeight="1">
      <x:c r="A509" s="60" t="str">
        <x:v>DOS-027</x:v>
      </x:c>
      <x:c r="B509" s="37" t="str">
        <x:v>Amateur AI Cinema &amp; Film Festival</x:v>
      </x:c>
      <x:c r="C509" s="37" t="str">
        <x:v>FAM-16</x:v>
      </x:c>
      <x:c r="D509" s="37" t="str">
        <x:v>Content moderation &amp; reporting</x:v>
      </x:c>
      <x:c r="E509" s="37" t="str">
        <x:v>Important</x:v>
      </x:c>
      <x:c r="F509" s="37" t="str">
        <x:v>Score after gates</x:v>
      </x:c>
      <x:c r="G509" s="37" t="str">
        <x:v>Amateur AI Cinema &amp; Film Festival: Reports, queues, permissions, review actions, and community safety controls.</x:v>
      </x:c>
      <x:c r="H509" s="38" t="str">
        <x:v>Launch festival/service and curated showcase before a full creator platform.</x:v>
      </x:c>
    </x:row>
    <x:row r="510" ht="48" customHeight="1">
      <x:c r="A510" s="60" t="str">
        <x:v>DOS-027</x:v>
      </x:c>
      <x:c r="B510" s="37" t="str">
        <x:v>Amateur AI Cinema &amp; Film Festival</x:v>
      </x:c>
      <x:c r="C510" s="37" t="str">
        <x:v>FAM-21</x:v>
      </x:c>
      <x:c r="D510" s="37" t="str">
        <x:v>Automations, webhooks &amp; scheduled jobs</x:v>
      </x:c>
      <x:c r="E510" s="37" t="str">
        <x:v>Important</x:v>
      </x:c>
      <x:c r="F510" s="37" t="str">
        <x:v>Score after gates</x:v>
      </x:c>
      <x:c r="G510" s="37" t="str">
        <x:v>Amateur AI Cinema &amp; Film Festival: Event-driven workflows, scheduled tasks, background processes, and webhooks.</x:v>
      </x:c>
      <x:c r="H510" s="38" t="str">
        <x:v>Launch festival/service and curated showcase before a full creator platform.</x:v>
      </x:c>
    </x:row>
    <x:row r="511" ht="48" customHeight="1">
      <x:c r="A511" s="60" t="str">
        <x:v>DOS-027</x:v>
      </x:c>
      <x:c r="B511" s="37" t="str">
        <x:v>Amateur AI Cinema &amp; Film Festival</x:v>
      </x:c>
      <x:c r="C511" s="37" t="str">
        <x:v>FAM-25</x:v>
      </x:c>
      <x:c r="D511" s="37" t="str">
        <x:v>Analytics, reporting &amp; decision dashboards</x:v>
      </x:c>
      <x:c r="E511" s="37" t="str">
        <x:v>Important</x:v>
      </x:c>
      <x:c r="F511" s="37" t="str">
        <x:v>Score after gates</x:v>
      </x:c>
      <x:c r="G511" s="37" t="str">
        <x:v>Amateur AI Cinema &amp; Film Festival: Usage metrics, charts, rankings, reporting, and decision support.</x:v>
      </x:c>
      <x:c r="H511" s="38" t="str">
        <x:v>Launch festival/service and curated showcase before a full creator platform.</x:v>
      </x:c>
    </x:row>
    <x:row r="512" ht="48" customHeight="1">
      <x:c r="A512" s="60" t="str">
        <x:v>DOS-027</x:v>
      </x:c>
      <x:c r="B512" s="37" t="str">
        <x:v>Amateur AI Cinema &amp; Film Festival</x:v>
      </x:c>
      <x:c r="C512" s="37" t="str">
        <x:v>FAM-27</x:v>
      </x:c>
      <x:c r="D512" s="37" t="str">
        <x:v>Portability, ownership &amp; escape path</x:v>
      </x:c>
      <x:c r="E512" s="37" t="str">
        <x:v>Important</x:v>
      </x:c>
      <x:c r="F512" s="37" t="str">
        <x:v>Score after gates</x:v>
      </x:c>
      <x:c r="G512" s="37" t="str">
        <x:v>Amateur AI Cinema &amp; Film Festival: Code/data export, GitHub, custom domains, migration, and lock-in control.</x:v>
      </x:c>
      <x:c r="H512" s="38" t="str">
        <x:v>Launch festival/service and curated showcase before a full creator platform.</x:v>
      </x:c>
    </x:row>
    <x:row r="513" ht="48" customHeight="1">
      <x:c r="A513" s="60" t="str">
        <x:v>DOS-027</x:v>
      </x:c>
      <x:c r="B513" s="37" t="str">
        <x:v>Amateur AI Cinema &amp; Film Festival</x:v>
      </x:c>
      <x:c r="C513" s="37" t="str">
        <x:v>FAM-35</x:v>
      </x:c>
      <x:c r="D513" s="37" t="str">
        <x:v>Privacy, consent &amp; audit trail</x:v>
      </x:c>
      <x:c r="E513" s="37" t="str">
        <x:v>Important</x:v>
      </x:c>
      <x:c r="F513" s="37" t="str">
        <x:v>Score after gates</x:v>
      </x:c>
      <x:c r="G513" s="37" t="str">
        <x:v>Amateur AI Cinema &amp; Film Festival: Consent, retention, access controls, provenance, and auditable actions.</x:v>
      </x:c>
      <x:c r="H513" s="38" t="str">
        <x:v>Launch festival/service and curated showcase before a full creator platform.</x:v>
      </x:c>
    </x:row>
    <x:row r="514" ht="48" customHeight="1">
      <x:c r="A514" s="60" t="str">
        <x:v>DOS-027</x:v>
      </x:c>
      <x:c r="B514" s="37" t="str">
        <x:v>Amateur AI Cinema &amp; Film Festival</x:v>
      </x:c>
      <x:c r="C514" s="37" t="str">
        <x:v>FAM-12</x:v>
      </x:c>
      <x:c r="D514" s="37" t="str">
        <x:v>AI text generation, analysis &amp; agents</x:v>
      </x:c>
      <x:c r="E514" s="37" t="str">
        <x:v>Expansion</x:v>
      </x:c>
      <x:c r="F514" s="37" t="str">
        <x:v>Flexible / later only</x:v>
      </x:c>
      <x:c r="G514" s="37" t="str">
        <x:v>Amateur AI Cinema &amp; Film Festival: Prompted generation, classification, summarization, reasoning, or assistant behavior.</x:v>
      </x:c>
      <x:c r="H514" s="38" t="str">
        <x:v>Creator community, paid submissions, awards, streaming, marketplace.</x:v>
      </x:c>
    </x:row>
    <x:row r="515" ht="48" customHeight="1">
      <x:c r="A515" s="60" t="str">
        <x:v>DOS-027</x:v>
      </x:c>
      <x:c r="B515" s="37" t="str">
        <x:v>Amateur AI Cinema &amp; Film Festival</x:v>
      </x:c>
      <x:c r="C515" s="37" t="str">
        <x:v>FAM-19</x:v>
      </x:c>
      <x:c r="D515" s="37" t="str">
        <x:v>Rewards, badges &amp; entitlements</x:v>
      </x:c>
      <x:c r="E515" s="37" t="str">
        <x:v>Expansion</x:v>
      </x:c>
      <x:c r="F515" s="37" t="str">
        <x:v>Flexible / later only</x:v>
      </x:c>
      <x:c r="G515" s="37" t="str">
        <x:v>Amateur AI Cinema &amp; Film Festival: Loyalty, roles, rewards, badges, credits, and access logic.</x:v>
      </x:c>
      <x:c r="H515" s="38" t="str">
        <x:v>Creator community, paid submissions, awards, streaming, marketplace.</x:v>
      </x:c>
    </x:row>
    <x:row r="516" ht="48" customHeight="1">
      <x:c r="A516" s="60" t="str">
        <x:v>DOS-027</x:v>
      </x:c>
      <x:c r="B516" s="37" t="str">
        <x:v>Amateur AI Cinema &amp; Film Festival</x:v>
      </x:c>
      <x:c r="C516" s="37" t="str">
        <x:v>FAM-20</x:v>
      </x:c>
      <x:c r="D516" s="37" t="str">
        <x:v>Notifications, reminders &amp; deadlines</x:v>
      </x:c>
      <x:c r="E516" s="37" t="str">
        <x:v>Expansion</x:v>
      </x:c>
      <x:c r="F516" s="37" t="str">
        <x:v>Flexible / later only</x:v>
      </x:c>
      <x:c r="G516" s="37" t="str">
        <x:v>Amateur AI Cinema &amp; Film Festival: Push/email/in-app reminders, scheduled tasks, and time-bound flows.</x:v>
      </x:c>
      <x:c r="H516" s="38" t="str">
        <x:v>Creator community, paid submissions, awards, streaming, marketplace.</x:v>
      </x:c>
    </x:row>
    <x:row r="517" ht="48" customHeight="1">
      <x:c r="A517" s="60" t="str">
        <x:v>DOS-027</x:v>
      </x:c>
      <x:c r="B517" s="37" t="str">
        <x:v>Amateur AI Cinema &amp; Film Festival</x:v>
      </x:c>
      <x:c r="C517" s="37" t="str">
        <x:v>FAM-31</x:v>
      </x:c>
      <x:c r="D517" s="37" t="str">
        <x:v>Teams, co-creation &amp; permissions</x:v>
      </x:c>
      <x:c r="E517" s="37" t="str">
        <x:v>Expansion</x:v>
      </x:c>
      <x:c r="F517" s="37" t="str">
        <x:v>Flexible / later only</x:v>
      </x:c>
      <x:c r="G517" s="37" t="str">
        <x:v>Amateur AI Cinema &amp; Film Festival: Multi-person workspaces, collaboration, ownership boundaries, and team roles.</x:v>
      </x:c>
      <x:c r="H517" s="38" t="str">
        <x:v>Creator community, paid submissions, awards, streaming, marketplace.</x:v>
      </x:c>
    </x:row>
    <x:row r="518" ht="48" customHeight="1">
      <x:c r="A518" s="60" t="str">
        <x:v>DOS-027</x:v>
      </x:c>
      <x:c r="B518" s="37" t="str">
        <x:v>Amateur AI Cinema &amp; Film Festival</x:v>
      </x:c>
      <x:c r="C518" s="37" t="str">
        <x:v>FAM-37</x:v>
      </x:c>
      <x:c r="D518" s="37" t="str">
        <x:v>Gamification, challenges &amp; progression</x:v>
      </x:c>
      <x:c r="E518" s="37" t="str">
        <x:v>Expansion</x:v>
      </x:c>
      <x:c r="F518" s="37" t="str">
        <x:v>Flexible / later only</x:v>
      </x:c>
      <x:c r="G518" s="37" t="str">
        <x:v>Amateur AI Cinema &amp; Film Festival: Challenges, points, levels, voting, collection, and progress systems.</x:v>
      </x:c>
      <x:c r="H518" s="38" t="str">
        <x:v>Creator community, paid submissions, awards, streaming, marketplace.</x:v>
      </x:c>
    </x:row>
    <x:row r="519" ht="48" customHeight="1">
      <x:c r="A519" s="60" t="str">
        <x:v>DOS-028</x:v>
      </x:c>
      <x:c r="B519" s="37" t="str">
        <x:v>UFO / UAP Reporting Platform</x:v>
      </x:c>
      <x:c r="C519" s="37" t="str">
        <x:v>FAM-01</x:v>
      </x:c>
      <x:c r="D519" s="37" t="str">
        <x:v>Responsive web / PWA interface</x:v>
      </x:c>
      <x:c r="E519" s="37" t="str">
        <x:v>Must</x:v>
      </x:c>
      <x:c r="F519" s="37" t="str">
        <x:v>Strict-route gate</x:v>
      </x:c>
      <x:c r="G519" s="37" t="str">
        <x:v>UFO / UAP Reporting Platform: Mobile-first responsive screens and app-like web navigation.</x:v>
      </x:c>
      <x:c r="H519" s="38" t="str">
        <x:v>Define safety/privacy rules, report form, evidence policy, public versus private display, basic map/list.</x:v>
      </x:c>
    </x:row>
    <x:row r="520" ht="48" customHeight="1">
      <x:c r="A520" s="60" t="str">
        <x:v>DOS-028</x:v>
      </x:c>
      <x:c r="B520" s="37" t="str">
        <x:v>UFO / UAP Reporting Platform</x:v>
      </x:c>
      <x:c r="C520" s="37" t="str">
        <x:v>FAM-03</x:v>
      </x:c>
      <x:c r="D520" s="37" t="str">
        <x:v>Authentication, identity &amp; roles</x:v>
      </x:c>
      <x:c r="E520" s="37" t="str">
        <x:v>Must</x:v>
      </x:c>
      <x:c r="F520" s="37" t="str">
        <x:v>Strict-route gate</x:v>
      </x:c>
      <x:c r="G520" s="37" t="str">
        <x:v>UFO / UAP Reporting Platform: Sign-in, role-aware access, member identity, and permissions.</x:v>
      </x:c>
      <x:c r="H520" s="38" t="str">
        <x:v>Define safety/privacy rules, report form, evidence policy, public versus private display, basic map/list.</x:v>
      </x:c>
    </x:row>
    <x:row r="521" ht="48" customHeight="1">
      <x:c r="A521" s="60" t="str">
        <x:v>DOS-028</x:v>
      </x:c>
      <x:c r="B521" s="37" t="str">
        <x:v>UFO / UAP Reporting Platform</x:v>
      </x:c>
      <x:c r="C521" s="37" t="str">
        <x:v>FAM-04</x:v>
      </x:c>
      <x:c r="D521" s="37" t="str">
        <x:v>Profiles, portfolios &amp; relationship records</x:v>
      </x:c>
      <x:c r="E521" s="37" t="str">
        <x:v>Must</x:v>
      </x:c>
      <x:c r="F521" s="37" t="str">
        <x:v>Strict-route gate</x:v>
      </x:c>
      <x:c r="G521" s="37" t="str">
        <x:v>UFO / UAP Reporting Platform: Persistent user/member/creator profiles and linked relationships.</x:v>
      </x:c>
      <x:c r="H521" s="38" t="str">
        <x:v>Define safety/privacy rules, report form, evidence policy, public versus private display, basic map/list.</x:v>
      </x:c>
    </x:row>
    <x:row r="522" ht="48" customHeight="1">
      <x:c r="A522" s="60" t="str">
        <x:v>DOS-028</x:v>
      </x:c>
      <x:c r="B522" s="37" t="str">
        <x:v>UFO / UAP Reporting Platform</x:v>
      </x:c>
      <x:c r="C522" s="37" t="str">
        <x:v>FAM-05</x:v>
      </x:c>
      <x:c r="D522" s="37" t="str">
        <x:v>Structured database &amp; persistent records</x:v>
      </x:c>
      <x:c r="E522" s="37" t="str">
        <x:v>Must</x:v>
      </x:c>
      <x:c r="F522" s="37" t="str">
        <x:v>Strict-route gate</x:v>
      </x:c>
      <x:c r="G522" s="37" t="str">
        <x:v>UFO / UAP Reporting Platform: Reliable structured data storage, retrieval, and updates.</x:v>
      </x:c>
      <x:c r="H522" s="38" t="str">
        <x:v>Define safety/privacy rules, report form, evidence policy, public versus private display, basic map/list.</x:v>
      </x:c>
    </x:row>
    <x:row r="523" ht="48" customHeight="1">
      <x:c r="A523" s="60" t="str">
        <x:v>DOS-028</x:v>
      </x:c>
      <x:c r="B523" s="37" t="str">
        <x:v>UFO / UAP Reporting Platform</x:v>
      </x:c>
      <x:c r="C523" s="37" t="str">
        <x:v>FAM-06</x:v>
      </x:c>
      <x:c r="D523" s="37" t="str">
        <x:v>Search, filters, lists &amp; directories</x:v>
      </x:c>
      <x:c r="E523" s="37" t="str">
        <x:v>Must</x:v>
      </x:c>
      <x:c r="F523" s="37" t="str">
        <x:v>Strict-route gate</x:v>
      </x:c>
      <x:c r="G523" s="37" t="str">
        <x:v>UFO / UAP Reporting Platform: Searchable libraries, member lists, catalog browsing, and filtered views.</x:v>
      </x:c>
      <x:c r="H523" s="38" t="str">
        <x:v>Define safety/privacy rules, report form, evidence policy, public versus private display, basic map/list.</x:v>
      </x:c>
    </x:row>
    <x:row r="524" ht="48" customHeight="1">
      <x:c r="A524" s="60" t="str">
        <x:v>DOS-028</x:v>
      </x:c>
      <x:c r="B524" s="37" t="str">
        <x:v>UFO / UAP Reporting Platform</x:v>
      </x:c>
      <x:c r="C524" s="37" t="str">
        <x:v>FAM-20</x:v>
      </x:c>
      <x:c r="D524" s="37" t="str">
        <x:v>Notifications, reminders &amp; deadlines</x:v>
      </x:c>
      <x:c r="E524" s="37" t="str">
        <x:v>Must</x:v>
      </x:c>
      <x:c r="F524" s="37" t="str">
        <x:v>Strict-route gate</x:v>
      </x:c>
      <x:c r="G524" s="37" t="str">
        <x:v>UFO / UAP Reporting Platform: Push/email/in-app reminders, scheduled tasks, and time-bound flows.</x:v>
      </x:c>
      <x:c r="H524" s="38" t="str">
        <x:v>Define safety/privacy rules, report form, evidence policy, public versus private display, basic map/list.</x:v>
      </x:c>
    </x:row>
    <x:row r="525" ht="48" customHeight="1">
      <x:c r="A525" s="60" t="str">
        <x:v>DOS-028</x:v>
      </x:c>
      <x:c r="B525" s="37" t="str">
        <x:v>UFO / UAP Reporting Platform</x:v>
      </x:c>
      <x:c r="C525" s="37" t="str">
        <x:v>FAM-33</x:v>
      </x:c>
      <x:c r="D525" s="37" t="str">
        <x:v>Location, scheduling &amp; service coordination</x:v>
      </x:c>
      <x:c r="E525" s="37" t="str">
        <x:v>Must</x:v>
      </x:c>
      <x:c r="F525" s="37" t="str">
        <x:v>Strict-route gate</x:v>
      </x:c>
      <x:c r="G525" s="37" t="str">
        <x:v>UFO / UAP Reporting Platform: Maps, appointments, resources, availability, or geographic service coordination.</x:v>
      </x:c>
      <x:c r="H525" s="38" t="str">
        <x:v>Define safety/privacy rules, report form, evidence policy, public versus private display, basic map/list.</x:v>
      </x:c>
    </x:row>
    <x:row r="526" ht="48" customHeight="1">
      <x:c r="A526" s="60" t="str">
        <x:v>DOS-028</x:v>
      </x:c>
      <x:c r="B526" s="37" t="str">
        <x:v>UFO / UAP Reporting Platform</x:v>
      </x:c>
      <x:c r="C526" s="37" t="str">
        <x:v>FAM-35</x:v>
      </x:c>
      <x:c r="D526" s="37" t="str">
        <x:v>Privacy, consent &amp; audit trail</x:v>
      </x:c>
      <x:c r="E526" s="37" t="str">
        <x:v>Must</x:v>
      </x:c>
      <x:c r="F526" s="37" t="str">
        <x:v>Strict-route gate</x:v>
      </x:c>
      <x:c r="G526" s="37" t="str">
        <x:v>UFO / UAP Reporting Platform: Consent, retention, access controls, provenance, and auditable actions.</x:v>
      </x:c>
      <x:c r="H526" s="38" t="str">
        <x:v>Define safety/privacy rules, report form, evidence policy, public versus private display, basic map/list.</x:v>
      </x:c>
    </x:row>
    <x:row r="527" ht="48" customHeight="1">
      <x:c r="A527" s="60" t="str">
        <x:v>DOS-028</x:v>
      </x:c>
      <x:c r="B527" s="37" t="str">
        <x:v>UFO / UAP Reporting Platform</x:v>
      </x:c>
      <x:c r="C527" s="37" t="str">
        <x:v>FAM-02</x:v>
      </x:c>
      <x:c r="D527" s="37" t="str">
        <x:v>Android/mobile builder workability</x:v>
      </x:c>
      <x:c r="E527" s="37" t="str">
        <x:v>Important</x:v>
      </x:c>
      <x:c r="F527" s="37" t="str">
        <x:v>Score after gates</x:v>
      </x:c>
      <x:c r="G527" s="37" t="str">
        <x:v>UFO / UAP Reporting Platform: Derek can build, edit, preview, test, and deploy with reasonable Android/mobile friction.</x:v>
      </x:c>
      <x:c r="H527" s="38" t="str">
        <x:v>Start with informational/reporting site; defer validation claims and community moderation complexity.</x:v>
      </x:c>
    </x:row>
    <x:row r="528" ht="48" customHeight="1">
      <x:c r="A528" s="60" t="str">
        <x:v>DOS-028</x:v>
      </x:c>
      <x:c r="B528" s="37" t="str">
        <x:v>UFO / UAP Reporting Platform</x:v>
      </x:c>
      <x:c r="C528" s="37" t="str">
        <x:v>FAM-07</x:v>
      </x:c>
      <x:c r="D528" s="37" t="str">
        <x:v>File intake, storage &amp; lifecycle</x:v>
      </x:c>
      <x:c r="E528" s="37" t="str">
        <x:v>Important</x:v>
      </x:c>
      <x:c r="F528" s="37" t="str">
        <x:v>Score after gates</x:v>
      </x:c>
      <x:c r="G528" s="37" t="str">
        <x:v>UFO / UAP Reporting Platform: Upload/import, validation, storage, retention, and file-size handling.</x:v>
      </x:c>
      <x:c r="H528" s="38" t="str">
        <x:v>Start with informational/reporting site; defer validation claims and community moderation complexity.</x:v>
      </x:c>
    </x:row>
    <x:row r="529" ht="48" customHeight="1">
      <x:c r="A529" s="60" t="str">
        <x:v>DOS-028</x:v>
      </x:c>
      <x:c r="B529" s="37" t="str">
        <x:v>UFO / UAP Reporting Platform</x:v>
      </x:c>
      <x:c r="C529" s="37" t="str">
        <x:v>FAM-15</x:v>
      </x:c>
      <x:c r="D529" s="37" t="str">
        <x:v>Social, realtime &amp; collaboration</x:v>
      </x:c>
      <x:c r="E529" s="37" t="str">
        <x:v>Important</x:v>
      </x:c>
      <x:c r="F529" s="37" t="str">
        <x:v>Score after gates</x:v>
      </x:c>
      <x:c r="G529" s="37" t="str">
        <x:v>UFO / UAP Reporting Platform: Feeds, messaging, groups, sharing, realtime updates, or multi-user creation.</x:v>
      </x:c>
      <x:c r="H529" s="38" t="str">
        <x:v>Start with informational/reporting site; defer validation claims and community moderation complexity.</x:v>
      </x:c>
    </x:row>
    <x:row r="530" ht="48" customHeight="1">
      <x:c r="A530" s="60" t="str">
        <x:v>DOS-028</x:v>
      </x:c>
      <x:c r="B530" s="37" t="str">
        <x:v>UFO / UAP Reporting Platform</x:v>
      </x:c>
      <x:c r="C530" s="37" t="str">
        <x:v>FAM-16</x:v>
      </x:c>
      <x:c r="D530" s="37" t="str">
        <x:v>Content moderation &amp; reporting</x:v>
      </x:c>
      <x:c r="E530" s="37" t="str">
        <x:v>Important</x:v>
      </x:c>
      <x:c r="F530" s="37" t="str">
        <x:v>Score after gates</x:v>
      </x:c>
      <x:c r="G530" s="37" t="str">
        <x:v>UFO / UAP Reporting Platform: Reports, queues, permissions, review actions, and community safety controls.</x:v>
      </x:c>
      <x:c r="H530" s="38" t="str">
        <x:v>Start with informational/reporting site; defer validation claims and community moderation complexity.</x:v>
      </x:c>
    </x:row>
    <x:row r="531" ht="48" customHeight="1">
      <x:c r="A531" s="60" t="str">
        <x:v>DOS-028</x:v>
      </x:c>
      <x:c r="B531" s="37" t="str">
        <x:v>UFO / UAP Reporting Platform</x:v>
      </x:c>
      <x:c r="C531" s="37" t="str">
        <x:v>FAM-21</x:v>
      </x:c>
      <x:c r="D531" s="37" t="str">
        <x:v>Automations, webhooks &amp; scheduled jobs</x:v>
      </x:c>
      <x:c r="E531" s="37" t="str">
        <x:v>Important</x:v>
      </x:c>
      <x:c r="F531" s="37" t="str">
        <x:v>Score after gates</x:v>
      </x:c>
      <x:c r="G531" s="37" t="str">
        <x:v>UFO / UAP Reporting Platform: Event-driven workflows, scheduled tasks, background processes, and webhooks.</x:v>
      </x:c>
      <x:c r="H531" s="38" t="str">
        <x:v>Start with informational/reporting site; defer validation claims and community moderation complexity.</x:v>
      </x:c>
    </x:row>
    <x:row r="532" ht="48" customHeight="1">
      <x:c r="A532" s="60" t="str">
        <x:v>DOS-028</x:v>
      </x:c>
      <x:c r="B532" s="37" t="str">
        <x:v>UFO / UAP Reporting Platform</x:v>
      </x:c>
      <x:c r="C532" s="37" t="str">
        <x:v>FAM-22</x:v>
      </x:c>
      <x:c r="D532" s="37" t="str">
        <x:v>APIs &amp; third-party integrations</x:v>
      </x:c>
      <x:c r="E532" s="37" t="str">
        <x:v>Important</x:v>
      </x:c>
      <x:c r="F532" s="37" t="str">
        <x:v>Score after gates</x:v>
      </x:c>
      <x:c r="G532" s="37" t="str">
        <x:v>UFO / UAP Reporting Platform: External services, social/export targets, payment providers, and service connectors.</x:v>
      </x:c>
      <x:c r="H532" s="38" t="str">
        <x:v>Start with informational/reporting site; defer validation claims and community moderation complexity.</x:v>
      </x:c>
    </x:row>
    <x:row r="533" ht="48" customHeight="1">
      <x:c r="A533" s="60" t="str">
        <x:v>DOS-028</x:v>
      </x:c>
      <x:c r="B533" s="37" t="str">
        <x:v>UFO / UAP Reporting Platform</x:v>
      </x:c>
      <x:c r="C533" s="37" t="str">
        <x:v>FAM-24</x:v>
      </x:c>
      <x:c r="D533" s="37" t="str">
        <x:v>Export, publishing &amp; share routes</x:v>
      </x:c>
      <x:c r="E533" s="37" t="str">
        <x:v>Important</x:v>
      </x:c>
      <x:c r="F533" s="37" t="str">
        <x:v>Score after gates</x:v>
      </x:c>
      <x:c r="G533" s="37" t="str">
        <x:v>UFO / UAP Reporting Platform: Download/export, social publishing, share links, and portable output packages.</x:v>
      </x:c>
      <x:c r="H533" s="38" t="str">
        <x:v>Start with informational/reporting site; defer validation claims and community moderation complexity.</x:v>
      </x:c>
    </x:row>
    <x:row r="534" ht="48" customHeight="1">
      <x:c r="A534" s="60" t="str">
        <x:v>DOS-028</x:v>
      </x:c>
      <x:c r="B534" s="37" t="str">
        <x:v>UFO / UAP Reporting Platform</x:v>
      </x:c>
      <x:c r="C534" s="37" t="str">
        <x:v>FAM-26</x:v>
      </x:c>
      <x:c r="D534" s="37" t="str">
        <x:v>Admin, CMS &amp; operational management</x:v>
      </x:c>
      <x:c r="E534" s="37" t="str">
        <x:v>Important</x:v>
      </x:c>
      <x:c r="F534" s="37" t="str">
        <x:v>Score after gates</x:v>
      </x:c>
      <x:c r="G534" s="37" t="str">
        <x:v>UFO / UAP Reporting Platform: Admin views, content management, operational review, and human overrides.</x:v>
      </x:c>
      <x:c r="H534" s="38" t="str">
        <x:v>Start with informational/reporting site; defer validation claims and community moderation complexity.</x:v>
      </x:c>
    </x:row>
    <x:row r="535" ht="48" customHeight="1">
      <x:c r="A535" s="60" t="str">
        <x:v>DOS-028</x:v>
      </x:c>
      <x:c r="B535" s="37" t="str">
        <x:v>UFO / UAP Reporting Platform</x:v>
      </x:c>
      <x:c r="C535" s="37" t="str">
        <x:v>FAM-29</x:v>
      </x:c>
      <x:c r="D535" s="37" t="str">
        <x:v>Backend functions, APIs &amp; background compute</x:v>
      </x:c>
      <x:c r="E535" s="37" t="str">
        <x:v>Important</x:v>
      </x:c>
      <x:c r="F535" s="37" t="str">
        <x:v>Score after gates</x:v>
      </x:c>
      <x:c r="G535" s="37" t="str">
        <x:v>UFO / UAP Reporting Platform: Server functions, secure APIs, logs, queues, scheduled tasks, and secrets.</x:v>
      </x:c>
      <x:c r="H535" s="38" t="str">
        <x:v>Start with informational/reporting site; defer validation claims and community moderation complexity.</x:v>
      </x:c>
    </x:row>
    <x:row r="536" ht="48" customHeight="1">
      <x:c r="A536" s="60" t="str">
        <x:v>DOS-028</x:v>
      </x:c>
      <x:c r="B536" s="37" t="str">
        <x:v>UFO / UAP Reporting Platform</x:v>
      </x:c>
      <x:c r="C536" s="37" t="str">
        <x:v>FAM-12</x:v>
      </x:c>
      <x:c r="D536" s="37" t="str">
        <x:v>AI text generation, analysis &amp; agents</x:v>
      </x:c>
      <x:c r="E536" s="37" t="str">
        <x:v>Expansion</x:v>
      </x:c>
      <x:c r="F536" s="37" t="str">
        <x:v>Flexible / later only</x:v>
      </x:c>
      <x:c r="G536" s="37" t="str">
        <x:v>UFO / UAP Reporting Platform: Prompted generation, classification, summarization, reasoning, or assistant behavior.</x:v>
      </x:c>
      <x:c r="H536" s="38" t="str">
        <x:v>AI evidence classification, geospatial correlation, community investigation.</x:v>
      </x:c>
    </x:row>
    <x:row r="537" ht="48" customHeight="1">
      <x:c r="A537" s="60" t="str">
        <x:v>DOS-028</x:v>
      </x:c>
      <x:c r="B537" s="37" t="str">
        <x:v>UFO / UAP Reporting Platform</x:v>
      </x:c>
      <x:c r="C537" s="37" t="str">
        <x:v>FAM-17</x:v>
      </x:c>
      <x:c r="D537" s="37" t="str">
        <x:v>Payments, subscriptions &amp; billing</x:v>
      </x:c>
      <x:c r="E537" s="37" t="str">
        <x:v>Expansion</x:v>
      </x:c>
      <x:c r="F537" s="37" t="str">
        <x:v>Flexible / later only</x:v>
      </x:c>
      <x:c r="G537" s="37" t="str">
        <x:v>UFO / UAP Reporting Platform: Payments, subscriptions, checkout, entitlements, and billing-aware workflows.</x:v>
      </x:c>
      <x:c r="H537" s="38" t="str">
        <x:v>AI evidence classification, geospatial correlation, community investigation.</x:v>
      </x:c>
    </x:row>
    <x:row r="538" ht="48" customHeight="1">
      <x:c r="A538" s="60" t="str">
        <x:v>DOS-028</x:v>
      </x:c>
      <x:c r="B538" s="37" t="str">
        <x:v>UFO / UAP Reporting Platform</x:v>
      </x:c>
      <x:c r="C538" s="37" t="str">
        <x:v>FAM-25</x:v>
      </x:c>
      <x:c r="D538" s="37" t="str">
        <x:v>Analytics, reporting &amp; decision dashboards</x:v>
      </x:c>
      <x:c r="E538" s="37" t="str">
        <x:v>Expansion</x:v>
      </x:c>
      <x:c r="F538" s="37" t="str">
        <x:v>Flexible / later only</x:v>
      </x:c>
      <x:c r="G538" s="37" t="str">
        <x:v>UFO / UAP Reporting Platform: Usage metrics, charts, rankings, reporting, and decision support.</x:v>
      </x:c>
      <x:c r="H538" s="38" t="str">
        <x:v>AI evidence classification, geospatial correlation, community investigation.</x:v>
      </x:c>
    </x:row>
    <x:row r="539" ht="48" customHeight="1">
      <x:c r="A539" s="60" t="str">
        <x:v>DOS-028</x:v>
      </x:c>
      <x:c r="B539" s="37" t="str">
        <x:v>UFO / UAP Reporting Platform</x:v>
      </x:c>
      <x:c r="C539" s="37" t="str">
        <x:v>FAM-31</x:v>
      </x:c>
      <x:c r="D539" s="37" t="str">
        <x:v>Teams, co-creation &amp; permissions</x:v>
      </x:c>
      <x:c r="E539" s="37" t="str">
        <x:v>Expansion</x:v>
      </x:c>
      <x:c r="F539" s="37" t="str">
        <x:v>Flexible / later only</x:v>
      </x:c>
      <x:c r="G539" s="37" t="str">
        <x:v>UFO / UAP Reporting Platform: Multi-person workspaces, collaboration, ownership boundaries, and team roles.</x:v>
      </x:c>
      <x:c r="H539" s="38" t="str">
        <x:v>AI evidence classification, geospatial correlation, community investigation.</x:v>
      </x:c>
    </x:row>
    <x:row r="540" ht="48" customHeight="1">
      <x:c r="A540" s="60" t="str">
        <x:v>DOS-029</x:v>
      </x:c>
      <x:c r="B540" s="37" t="str">
        <x:v>Single-Trip Roadside Assistance</x:v>
      </x:c>
      <x:c r="C540" s="37" t="str">
        <x:v>FAM-01</x:v>
      </x:c>
      <x:c r="D540" s="37" t="str">
        <x:v>Responsive web / PWA interface</x:v>
      </x:c>
      <x:c r="E540" s="37" t="str">
        <x:v>Must</x:v>
      </x:c>
      <x:c r="F540" s="37" t="str">
        <x:v>Strict-route gate</x:v>
      </x:c>
      <x:c r="G540" s="37" t="str">
        <x:v>Single-Trip Roadside Assistance: Mobile-first responsive screens and app-like web navigation.</x:v>
      </x:c>
      <x:c r="H540" s="38" t="str">
        <x:v>Define offer, service network, coverage rules, quote/checkout path, claims/dispatch boundaries.</x:v>
      </x:c>
    </x:row>
    <x:row r="541" ht="48" customHeight="1">
      <x:c r="A541" s="60" t="str">
        <x:v>DOS-029</x:v>
      </x:c>
      <x:c r="B541" s="37" t="str">
        <x:v>Single-Trip Roadside Assistance</x:v>
      </x:c>
      <x:c r="C541" s="37" t="str">
        <x:v>FAM-23</x:v>
      </x:c>
      <x:c r="D541" s="37" t="str">
        <x:v>Public website, SEO &amp; domain control</x:v>
      </x:c>
      <x:c r="E541" s="37" t="str">
        <x:v>Must</x:v>
      </x:c>
      <x:c r="F541" s="37" t="str">
        <x:v>Strict-route gate</x:v>
      </x:c>
      <x:c r="G541" s="37" t="str">
        <x:v>Single-Trip Roadside Assistance: Public pages, discoverability, custom domain, shareability, and search metadata.</x:v>
      </x:c>
      <x:c r="H541" s="38" t="str">
        <x:v>Define offer, service network, coverage rules, quote/checkout path, claims/dispatch boundaries.</x:v>
      </x:c>
    </x:row>
    <x:row r="542" ht="48" customHeight="1">
      <x:c r="A542" s="60" t="str">
        <x:v>DOS-029</x:v>
      </x:c>
      <x:c r="B542" s="37" t="str">
        <x:v>Single-Trip Roadside Assistance</x:v>
      </x:c>
      <x:c r="C542" s="37" t="str">
        <x:v>FAM-34</x:v>
      </x:c>
      <x:c r="D542" s="37" t="str">
        <x:v>Lead capture, booking &amp; service commerce</x:v>
      </x:c>
      <x:c r="E542" s="37" t="str">
        <x:v>Must</x:v>
      </x:c>
      <x:c r="F542" s="37" t="str">
        <x:v>Strict-route gate</x:v>
      </x:c>
      <x:c r="G542" s="37" t="str">
        <x:v>Single-Trip Roadside Assistance: Inquiry forms, booking, sales funnels, quotes, and service-client handoff.</x:v>
      </x:c>
      <x:c r="H542" s="38" t="str">
        <x:v>Define offer, service network, coverage rules, quote/checkout path, claims/dispatch boundaries.</x:v>
      </x:c>
    </x:row>
    <x:row r="543" ht="48" customHeight="1">
      <x:c r="A543" s="60" t="str">
        <x:v>DOS-029</x:v>
      </x:c>
      <x:c r="B543" s="37" t="str">
        <x:v>Single-Trip Roadside Assistance</x:v>
      </x:c>
      <x:c r="C543" s="37" t="str">
        <x:v>FAM-40</x:v>
      </x:c>
      <x:c r="D543" s="37" t="str">
        <x:v>Research, validation &amp; launch experiment</x:v>
      </x:c>
      <x:c r="E543" s="37" t="str">
        <x:v>Must</x:v>
      </x:c>
      <x:c r="F543" s="37" t="str">
        <x:v>Strict-route gate</x:v>
      </x:c>
      <x:c r="G543" s="37" t="str">
        <x:v>Single-Trip Roadside Assistance: Landing tests, surveys, waitlists, hypotheses, experiments, and evidence capture.</x:v>
      </x:c>
      <x:c r="H543" s="38" t="str">
        <x:v>Define offer, service network, coverage rules, quote/checkout path, claims/dispatch boundaries.</x:v>
      </x:c>
    </x:row>
    <x:row r="544" ht="48" customHeight="1">
      <x:c r="A544" s="60" t="str">
        <x:v>DOS-029</x:v>
      </x:c>
      <x:c r="B544" s="37" t="str">
        <x:v>Single-Trip Roadside Assistance</x:v>
      </x:c>
      <x:c r="C544" s="37" t="str">
        <x:v>FAM-02</x:v>
      </x:c>
      <x:c r="D544" s="37" t="str">
        <x:v>Android/mobile builder workability</x:v>
      </x:c>
      <x:c r="E544" s="37" t="str">
        <x:v>Important</x:v>
      </x:c>
      <x:c r="F544" s="37" t="str">
        <x:v>Score after gates</x:v>
      </x:c>
      <x:c r="G544" s="37" t="str">
        <x:v>Single-Trip Roadside Assistance: Derek can build, edit, preview, test, and deploy with reasonable Android/mobile friction.</x:v>
      </x:c>
      <x:c r="H544" s="38" t="str">
        <x:v>Start landing/validation and partner model; do not build insurance software before legal model exists.</x:v>
      </x:c>
    </x:row>
    <x:row r="545" ht="48" customHeight="1">
      <x:c r="A545" s="60" t="str">
        <x:v>DOS-029</x:v>
      </x:c>
      <x:c r="B545" s="37" t="str">
        <x:v>Single-Trip Roadside Assistance</x:v>
      </x:c>
      <x:c r="C545" s="37" t="str">
        <x:v>FAM-05</x:v>
      </x:c>
      <x:c r="D545" s="37" t="str">
        <x:v>Structured database &amp; persistent records</x:v>
      </x:c>
      <x:c r="E545" s="37" t="str">
        <x:v>Important</x:v>
      </x:c>
      <x:c r="F545" s="37" t="str">
        <x:v>Score after gates</x:v>
      </x:c>
      <x:c r="G545" s="37" t="str">
        <x:v>Single-Trip Roadside Assistance: Reliable structured data storage, retrieval, and updates.</x:v>
      </x:c>
      <x:c r="H545" s="38" t="str">
        <x:v>Start landing/validation and partner model; do not build insurance software before legal model exists.</x:v>
      </x:c>
    </x:row>
    <x:row r="546" ht="48" customHeight="1">
      <x:c r="A546" s="60" t="str">
        <x:v>DOS-029</x:v>
      </x:c>
      <x:c r="B546" s="37" t="str">
        <x:v>Single-Trip Roadside Assistance</x:v>
      </x:c>
      <x:c r="C546" s="37" t="str">
        <x:v>FAM-25</x:v>
      </x:c>
      <x:c r="D546" s="37" t="str">
        <x:v>Analytics, reporting &amp; decision dashboards</x:v>
      </x:c>
      <x:c r="E546" s="37" t="str">
        <x:v>Important</x:v>
      </x:c>
      <x:c r="F546" s="37" t="str">
        <x:v>Score after gates</x:v>
      </x:c>
      <x:c r="G546" s="37" t="str">
        <x:v>Single-Trip Roadside Assistance: Usage metrics, charts, rankings, reporting, and decision support.</x:v>
      </x:c>
      <x:c r="H546" s="38" t="str">
        <x:v>Start landing/validation and partner model; do not build insurance software before legal model exists.</x:v>
      </x:c>
    </x:row>
    <x:row r="547" ht="48" customHeight="1">
      <x:c r="A547" s="60" t="str">
        <x:v>DOS-029</x:v>
      </x:c>
      <x:c r="B547" s="37" t="str">
        <x:v>Single-Trip Roadside Assistance</x:v>
      </x:c>
      <x:c r="C547" s="37" t="str">
        <x:v>FAM-26</x:v>
      </x:c>
      <x:c r="D547" s="37" t="str">
        <x:v>Admin, CMS &amp; operational management</x:v>
      </x:c>
      <x:c r="E547" s="37" t="str">
        <x:v>Important</x:v>
      </x:c>
      <x:c r="F547" s="37" t="str">
        <x:v>Score after gates</x:v>
      </x:c>
      <x:c r="G547" s="37" t="str">
        <x:v>Single-Trip Roadside Assistance: Admin views, content management, operational review, and human overrides.</x:v>
      </x:c>
      <x:c r="H547" s="38" t="str">
        <x:v>Start landing/validation and partner model; do not build insurance software before legal model exists.</x:v>
      </x:c>
    </x:row>
    <x:row r="548" ht="48" customHeight="1">
      <x:c r="A548" s="60" t="str">
        <x:v>DOS-029</x:v>
      </x:c>
      <x:c r="B548" s="37" t="str">
        <x:v>Single-Trip Roadside Assistance</x:v>
      </x:c>
      <x:c r="C548" s="37" t="str">
        <x:v>FAM-27</x:v>
      </x:c>
      <x:c r="D548" s="37" t="str">
        <x:v>Portability, ownership &amp; escape path</x:v>
      </x:c>
      <x:c r="E548" s="37" t="str">
        <x:v>Important</x:v>
      </x:c>
      <x:c r="F548" s="37" t="str">
        <x:v>Score after gates</x:v>
      </x:c>
      <x:c r="G548" s="37" t="str">
        <x:v>Single-Trip Roadside Assistance: Code/data export, GitHub, custom domains, migration, and lock-in control.</x:v>
      </x:c>
      <x:c r="H548" s="38" t="str">
        <x:v>Start landing/validation and partner model; do not build insurance software before legal model exists.</x:v>
      </x:c>
    </x:row>
    <x:row r="549" ht="48" customHeight="1">
      <x:c r="A549" s="60" t="str">
        <x:v>DOS-029</x:v>
      </x:c>
      <x:c r="B549" s="37" t="str">
        <x:v>Single-Trip Roadside Assistance</x:v>
      </x:c>
      <x:c r="C549" s="37" t="str">
        <x:v>FAM-03</x:v>
      </x:c>
      <x:c r="D549" s="37" t="str">
        <x:v>Authentication, identity &amp; roles</x:v>
      </x:c>
      <x:c r="E549" s="37" t="str">
        <x:v>Expansion</x:v>
      </x:c>
      <x:c r="F549" s="37" t="str">
        <x:v>Flexible / later only</x:v>
      </x:c>
      <x:c r="G549" s="37" t="str">
        <x:v>Single-Trip Roadside Assistance: Sign-in, role-aware access, member identity, and permissions.</x:v>
      </x:c>
      <x:c r="H549" s="38" t="str">
        <x:v>Member app, dispatch integration, roadside marketplace.</x:v>
      </x:c>
    </x:row>
    <x:row r="550" ht="48" customHeight="1">
      <x:c r="A550" s="60" t="str">
        <x:v>DOS-029</x:v>
      </x:c>
      <x:c r="B550" s="37" t="str">
        <x:v>Single-Trip Roadside Assistance</x:v>
      </x:c>
      <x:c r="C550" s="37" t="str">
        <x:v>FAM-12</x:v>
      </x:c>
      <x:c r="D550" s="37" t="str">
        <x:v>AI text generation, analysis &amp; agents</x:v>
      </x:c>
      <x:c r="E550" s="37" t="str">
        <x:v>Expansion</x:v>
      </x:c>
      <x:c r="F550" s="37" t="str">
        <x:v>Flexible / later only</x:v>
      </x:c>
      <x:c r="G550" s="37" t="str">
        <x:v>Single-Trip Roadside Assistance: Prompted generation, classification, summarization, reasoning, or assistant behavior.</x:v>
      </x:c>
      <x:c r="H550" s="38" t="str">
        <x:v>Member app, dispatch integration, roadside marketplace.</x:v>
      </x:c>
    </x:row>
    <x:row r="551" ht="48" customHeight="1">
      <x:c r="A551" s="60" t="str">
        <x:v>DOS-029</x:v>
      </x:c>
      <x:c r="B551" s="37" t="str">
        <x:v>Single-Trip Roadside Assistance</x:v>
      </x:c>
      <x:c r="C551" s="37" t="str">
        <x:v>FAM-17</x:v>
      </x:c>
      <x:c r="D551" s="37" t="str">
        <x:v>Payments, subscriptions &amp; billing</x:v>
      </x:c>
      <x:c r="E551" s="37" t="str">
        <x:v>Expansion</x:v>
      </x:c>
      <x:c r="F551" s="37" t="str">
        <x:v>Flexible / later only</x:v>
      </x:c>
      <x:c r="G551" s="37" t="str">
        <x:v>Single-Trip Roadside Assistance: Payments, subscriptions, checkout, entitlements, and billing-aware workflows.</x:v>
      </x:c>
      <x:c r="H551" s="38" t="str">
        <x:v>Member app, dispatch integration, roadside marketplace.</x:v>
      </x:c>
    </x:row>
    <x:row r="552" ht="48" customHeight="1">
      <x:c r="A552" s="60" t="str">
        <x:v>DOS-029</x:v>
      </x:c>
      <x:c r="B552" s="37" t="str">
        <x:v>Single-Trip Roadside Assistance</x:v>
      </x:c>
      <x:c r="C552" s="37" t="str">
        <x:v>FAM-22</x:v>
      </x:c>
      <x:c r="D552" s="37" t="str">
        <x:v>APIs &amp; third-party integrations</x:v>
      </x:c>
      <x:c r="E552" s="37" t="str">
        <x:v>Expansion</x:v>
      </x:c>
      <x:c r="F552" s="37" t="str">
        <x:v>Flexible / later only</x:v>
      </x:c>
      <x:c r="G552" s="37" t="str">
        <x:v>Single-Trip Roadside Assistance: External services, social/export targets, payment providers, and service connectors.</x:v>
      </x:c>
      <x:c r="H552" s="38" t="str">
        <x:v>Member app, dispatch integration, roadside marketplace.</x:v>
      </x:c>
    </x:row>
    <x:row r="553" ht="48" customHeight="1">
      <x:c r="A553" s="60" t="str">
        <x:v>DOS-030</x:v>
      </x:c>
      <x:c r="B553" s="37" t="str">
        <x:v>A-Guy Roofing Gateway</x:v>
      </x:c>
      <x:c r="C553" s="37" t="str">
        <x:v>FAM-01</x:v>
      </x:c>
      <x:c r="D553" s="37" t="str">
        <x:v>Responsive web / PWA interface</x:v>
      </x:c>
      <x:c r="E553" s="37" t="str">
        <x:v>Must</x:v>
      </x:c>
      <x:c r="F553" s="37" t="str">
        <x:v>Strict-route gate</x:v>
      </x:c>
      <x:c r="G553" s="37" t="str">
        <x:v>A-Guy Roofing Gateway: Mobile-first responsive screens and app-like web navigation.</x:v>
      </x:c>
      <x:c r="H553" s="38" t="str">
        <x:v>Offer pages, inquiry/quote form, service area, proof, booking/lead handoff, simple assessment intake.</x:v>
      </x:c>
    </x:row>
    <x:row r="554" ht="48" customHeight="1">
      <x:c r="A554" s="60" t="str">
        <x:v>DOS-030</x:v>
      </x:c>
      <x:c r="B554" s="37" t="str">
        <x:v>A-Guy Roofing Gateway</x:v>
      </x:c>
      <x:c r="C554" s="37" t="str">
        <x:v>FAM-23</x:v>
      </x:c>
      <x:c r="D554" s="37" t="str">
        <x:v>Public website, SEO &amp; domain control</x:v>
      </x:c>
      <x:c r="E554" s="37" t="str">
        <x:v>Must</x:v>
      </x:c>
      <x:c r="F554" s="37" t="str">
        <x:v>Strict-route gate</x:v>
      </x:c>
      <x:c r="G554" s="37" t="str">
        <x:v>A-Guy Roofing Gateway: Public pages, discoverability, custom domain, shareability, and search metadata.</x:v>
      </x:c>
      <x:c r="H554" s="38" t="str">
        <x:v>Offer pages, inquiry/quote form, service area, proof, booking/lead handoff, simple assessment intake.</x:v>
      </x:c>
    </x:row>
    <x:row r="555" ht="48" customHeight="1">
      <x:c r="A555" s="60" t="str">
        <x:v>DOS-030</x:v>
      </x:c>
      <x:c r="B555" s="37" t="str">
        <x:v>A-Guy Roofing Gateway</x:v>
      </x:c>
      <x:c r="C555" s="37" t="str">
        <x:v>FAM-26</x:v>
      </x:c>
      <x:c r="D555" s="37" t="str">
        <x:v>Admin, CMS &amp; operational management</x:v>
      </x:c>
      <x:c r="E555" s="37" t="str">
        <x:v>Must</x:v>
      </x:c>
      <x:c r="F555" s="37" t="str">
        <x:v>Strict-route gate</x:v>
      </x:c>
      <x:c r="G555" s="37" t="str">
        <x:v>A-Guy Roofing Gateway: Admin views, content management, operational review, and human overrides.</x:v>
      </x:c>
      <x:c r="H555" s="38" t="str">
        <x:v>Offer pages, inquiry/quote form, service area, proof, booking/lead handoff, simple assessment intake.</x:v>
      </x:c>
    </x:row>
    <x:row r="556" ht="48" customHeight="1">
      <x:c r="A556" s="60" t="str">
        <x:v>DOS-030</x:v>
      </x:c>
      <x:c r="B556" s="37" t="str">
        <x:v>A-Guy Roofing Gateway</x:v>
      </x:c>
      <x:c r="C556" s="37" t="str">
        <x:v>FAM-34</x:v>
      </x:c>
      <x:c r="D556" s="37" t="str">
        <x:v>Lead capture, booking &amp; service commerce</x:v>
      </x:c>
      <x:c r="E556" s="37" t="str">
        <x:v>Must</x:v>
      </x:c>
      <x:c r="F556" s="37" t="str">
        <x:v>Strict-route gate</x:v>
      </x:c>
      <x:c r="G556" s="37" t="str">
        <x:v>A-Guy Roofing Gateway: Inquiry forms, booking, sales funnels, quotes, and service-client handoff.</x:v>
      </x:c>
      <x:c r="H556" s="38" t="str">
        <x:v>Offer pages, inquiry/quote form, service area, proof, booking/lead handoff, simple assessment intake.</x:v>
      </x:c>
    </x:row>
    <x:row r="557" ht="48" customHeight="1">
      <x:c r="A557" s="60" t="str">
        <x:v>DOS-030</x:v>
      </x:c>
      <x:c r="B557" s="37" t="str">
        <x:v>A-Guy Roofing Gateway</x:v>
      </x:c>
      <x:c r="C557" s="37" t="str">
        <x:v>FAM-40</x:v>
      </x:c>
      <x:c r="D557" s="37" t="str">
        <x:v>Research, validation &amp; launch experiment</x:v>
      </x:c>
      <x:c r="E557" s="37" t="str">
        <x:v>Must</x:v>
      </x:c>
      <x:c r="F557" s="37" t="str">
        <x:v>Strict-route gate</x:v>
      </x:c>
      <x:c r="G557" s="37" t="str">
        <x:v>A-Guy Roofing Gateway: Landing tests, surveys, waitlists, hypotheses, experiments, and evidence capture.</x:v>
      </x:c>
      <x:c r="H557" s="38" t="str">
        <x:v>Offer pages, inquiry/quote form, service area, proof, booking/lead handoff, simple assessment intake.</x:v>
      </x:c>
    </x:row>
    <x:row r="558" ht="48" customHeight="1">
      <x:c r="A558" s="60" t="str">
        <x:v>DOS-030</x:v>
      </x:c>
      <x:c r="B558" s="37" t="str">
        <x:v>A-Guy Roofing Gateway</x:v>
      </x:c>
      <x:c r="C558" s="37" t="str">
        <x:v>FAM-02</x:v>
      </x:c>
      <x:c r="D558" s="37" t="str">
        <x:v>Android/mobile builder workability</x:v>
      </x:c>
      <x:c r="E558" s="37" t="str">
        <x:v>Important</x:v>
      </x:c>
      <x:c r="F558" s="37" t="str">
        <x:v>Score after gates</x:v>
      </x:c>
      <x:c r="G558" s="37" t="str">
        <x:v>A-Guy Roofing Gateway: Derek can build, edit, preview, test, and deploy with reasonable Android/mobile friction.</x:v>
      </x:c>
      <x:c r="H558" s="38" t="str">
        <x:v>Start website and human-reviewed lead workflow; defer automated risk map and AI diagnosis.</x:v>
      </x:c>
    </x:row>
    <x:row r="559" ht="48" customHeight="1">
      <x:c r="A559" s="60" t="str">
        <x:v>DOS-030</x:v>
      </x:c>
      <x:c r="B559" s="37" t="str">
        <x:v>A-Guy Roofing Gateway</x:v>
      </x:c>
      <x:c r="C559" s="37" t="str">
        <x:v>FAM-17</x:v>
      </x:c>
      <x:c r="D559" s="37" t="str">
        <x:v>Payments, subscriptions &amp; billing</x:v>
      </x:c>
      <x:c r="E559" s="37" t="str">
        <x:v>Important</x:v>
      </x:c>
      <x:c r="F559" s="37" t="str">
        <x:v>Score after gates</x:v>
      </x:c>
      <x:c r="G559" s="37" t="str">
        <x:v>A-Guy Roofing Gateway: Payments, subscriptions, checkout, entitlements, and billing-aware workflows.</x:v>
      </x:c>
      <x:c r="H559" s="38" t="str">
        <x:v>Start website and human-reviewed lead workflow; defer automated risk map and AI diagnosis.</x:v>
      </x:c>
    </x:row>
    <x:row r="560" ht="48" customHeight="1">
      <x:c r="A560" s="60" t="str">
        <x:v>DOS-030</x:v>
      </x:c>
      <x:c r="B560" s="37" t="str">
        <x:v>A-Guy Roofing Gateway</x:v>
      </x:c>
      <x:c r="C560" s="37" t="str">
        <x:v>FAM-22</x:v>
      </x:c>
      <x:c r="D560" s="37" t="str">
        <x:v>APIs &amp; third-party integrations</x:v>
      </x:c>
      <x:c r="E560" s="37" t="str">
        <x:v>Important</x:v>
      </x:c>
      <x:c r="F560" s="37" t="str">
        <x:v>Score after gates</x:v>
      </x:c>
      <x:c r="G560" s="37" t="str">
        <x:v>A-Guy Roofing Gateway: External services, social/export targets, payment providers, and service connectors.</x:v>
      </x:c>
      <x:c r="H560" s="38" t="str">
        <x:v>Start website and human-reviewed lead workflow; defer automated risk map and AI diagnosis.</x:v>
      </x:c>
    </x:row>
    <x:row r="561" ht="48" customHeight="1">
      <x:c r="A561" s="60" t="str">
        <x:v>DOS-030</x:v>
      </x:c>
      <x:c r="B561" s="37" t="str">
        <x:v>A-Guy Roofing Gateway</x:v>
      </x:c>
      <x:c r="C561" s="37" t="str">
        <x:v>FAM-25</x:v>
      </x:c>
      <x:c r="D561" s="37" t="str">
        <x:v>Analytics, reporting &amp; decision dashboards</x:v>
      </x:c>
      <x:c r="E561" s="37" t="str">
        <x:v>Important</x:v>
      </x:c>
      <x:c r="F561" s="37" t="str">
        <x:v>Score after gates</x:v>
      </x:c>
      <x:c r="G561" s="37" t="str">
        <x:v>A-Guy Roofing Gateway: Usage metrics, charts, rankings, reporting, and decision support.</x:v>
      </x:c>
      <x:c r="H561" s="38" t="str">
        <x:v>Start website and human-reviewed lead workflow; defer automated risk map and AI diagnosis.</x:v>
      </x:c>
    </x:row>
    <x:row r="562" ht="48" customHeight="1">
      <x:c r="A562" s="60" t="str">
        <x:v>DOS-030</x:v>
      </x:c>
      <x:c r="B562" s="37" t="str">
        <x:v>A-Guy Roofing Gateway</x:v>
      </x:c>
      <x:c r="C562" s="37" t="str">
        <x:v>FAM-27</x:v>
      </x:c>
      <x:c r="D562" s="37" t="str">
        <x:v>Portability, ownership &amp; escape path</x:v>
      </x:c>
      <x:c r="E562" s="37" t="str">
        <x:v>Important</x:v>
      </x:c>
      <x:c r="F562" s="37" t="str">
        <x:v>Score after gates</x:v>
      </x:c>
      <x:c r="G562" s="37" t="str">
        <x:v>A-Guy Roofing Gateway: Code/data export, GitHub, custom domains, migration, and lock-in control.</x:v>
      </x:c>
      <x:c r="H562" s="38" t="str">
        <x:v>Start website and human-reviewed lead workflow; defer automated risk map and AI diagnosis.</x:v>
      </x:c>
    </x:row>
    <x:row r="563" ht="48" customHeight="1">
      <x:c r="A563" s="60" t="str">
        <x:v>DOS-030</x:v>
      </x:c>
      <x:c r="B563" s="37" t="str">
        <x:v>A-Guy Roofing Gateway</x:v>
      </x:c>
      <x:c r="C563" s="37" t="str">
        <x:v>FAM-33</x:v>
      </x:c>
      <x:c r="D563" s="37" t="str">
        <x:v>Location, scheduling &amp; service coordination</x:v>
      </x:c>
      <x:c r="E563" s="37" t="str">
        <x:v>Important</x:v>
      </x:c>
      <x:c r="F563" s="37" t="str">
        <x:v>Score after gates</x:v>
      </x:c>
      <x:c r="G563" s="37" t="str">
        <x:v>A-Guy Roofing Gateway: Maps, appointments, resources, availability, or geographic service coordination.</x:v>
      </x:c>
      <x:c r="H563" s="38" t="str">
        <x:v>Start website and human-reviewed lead workflow; defer automated risk map and AI diagnosis.</x:v>
      </x:c>
    </x:row>
    <x:row r="564" ht="48" customHeight="1">
      <x:c r="A564" s="60" t="str">
        <x:v>DOS-030</x:v>
      </x:c>
      <x:c r="B564" s="37" t="str">
        <x:v>A-Guy Roofing Gateway</x:v>
      </x:c>
      <x:c r="C564" s="37" t="str">
        <x:v>FAM-03</x:v>
      </x:c>
      <x:c r="D564" s="37" t="str">
        <x:v>Authentication, identity &amp; roles</x:v>
      </x:c>
      <x:c r="E564" s="37" t="str">
        <x:v>Expansion</x:v>
      </x:c>
      <x:c r="F564" s="37" t="str">
        <x:v>Flexible / later only</x:v>
      </x:c>
      <x:c r="G564" s="37" t="str">
        <x:v>A-Guy Roofing Gateway: Sign-in, role-aware access, member identity, and permissions.</x:v>
      </x:c>
      <x:c r="H564" s="38" t="str">
        <x:v>Roofing risk map, AI assistant, customer portal.</x:v>
      </x:c>
    </x:row>
    <x:row r="565" ht="48" customHeight="1">
      <x:c r="A565" s="60" t="str">
        <x:v>DOS-030</x:v>
      </x:c>
      <x:c r="B565" s="37" t="str">
        <x:v>A-Guy Roofing Gateway</x:v>
      </x:c>
      <x:c r="C565" s="37" t="str">
        <x:v>FAM-04</x:v>
      </x:c>
      <x:c r="D565" s="37" t="str">
        <x:v>Profiles, portfolios &amp; relationship records</x:v>
      </x:c>
      <x:c r="E565" s="37" t="str">
        <x:v>Expansion</x:v>
      </x:c>
      <x:c r="F565" s="37" t="str">
        <x:v>Flexible / later only</x:v>
      </x:c>
      <x:c r="G565" s="37" t="str">
        <x:v>A-Guy Roofing Gateway: Persistent user/member/creator profiles and linked relationships.</x:v>
      </x:c>
      <x:c r="H565" s="38" t="str">
        <x:v>Roofing risk map, AI assistant, customer portal.</x:v>
      </x:c>
    </x:row>
    <x:row r="566" ht="48" customHeight="1">
      <x:c r="A566" s="60" t="str">
        <x:v>DOS-030</x:v>
      </x:c>
      <x:c r="B566" s="37" t="str">
        <x:v>A-Guy Roofing Gateway</x:v>
      </x:c>
      <x:c r="C566" s="37" t="str">
        <x:v>FAM-12</x:v>
      </x:c>
      <x:c r="D566" s="37" t="str">
        <x:v>AI text generation, analysis &amp; agents</x:v>
      </x:c>
      <x:c r="E566" s="37" t="str">
        <x:v>Expansion</x:v>
      </x:c>
      <x:c r="F566" s="37" t="str">
        <x:v>Flexible / later only</x:v>
      </x:c>
      <x:c r="G566" s="37" t="str">
        <x:v>A-Guy Roofing Gateway: Prompted generation, classification, summarization, reasoning, or assistant behavior.</x:v>
      </x:c>
      <x:c r="H566" s="38" t="str">
        <x:v>Roofing risk map, AI assistant, customer portal.</x:v>
      </x:c>
    </x:row>
    <x:row r="567" ht="48" customHeight="1">
      <x:c r="A567" s="60" t="str">
        <x:v>DOS-030</x:v>
      </x:c>
      <x:c r="B567" s="37" t="str">
        <x:v>A-Guy Roofing Gateway</x:v>
      </x:c>
      <x:c r="C567" s="37" t="str">
        <x:v>FAM-18</x:v>
      </x:c>
      <x:c r="D567" s="37" t="str">
        <x:v>Commerce, catalog &amp; fulfillment</x:v>
      </x:c>
      <x:c r="E567" s="37" t="str">
        <x:v>Expansion</x:v>
      </x:c>
      <x:c r="F567" s="37" t="str">
        <x:v>Flexible / later only</x:v>
      </x:c>
      <x:c r="G567" s="37" t="str">
        <x:v>A-Guy Roofing Gateway: Product catalogs, ecommerce, orders, print-on-demand, and fulfillment integrations.</x:v>
      </x:c>
      <x:c r="H567" s="38" t="str">
        <x:v>Roofing risk map, AI assistant, customer portal.</x:v>
      </x:c>
    </x:row>
    <x:row r="568" ht="48" customHeight="1">
      <x:c r="A568" s="60" t="str">
        <x:v>DOS-031</x:v>
      </x:c>
      <x:c r="B568" s="37" t="str">
        <x:v>QuoteCraft AI</x:v>
      </x:c>
      <x:c r="C568" s="37" t="str">
        <x:v>FAM-01</x:v>
      </x:c>
      <x:c r="D568" s="37" t="str">
        <x:v>Responsive web / PWA interface</x:v>
      </x:c>
      <x:c r="E568" s="37" t="str">
        <x:v>Must</x:v>
      </x:c>
      <x:c r="F568" s="37" t="str">
        <x:v>Strict-route gate</x:v>
      </x:c>
      <x:c r="G568" s="37" t="str">
        <x:v>QuoteCraft AI: Mobile-first responsive screens and app-like web navigation.</x:v>
      </x:c>
      <x:c r="H568" s="38" t="str">
        <x:v>Recover current prototype behavior, intended user, input/output, and first-dollar model.</x:v>
      </x:c>
    </x:row>
    <x:row r="569" ht="48" customHeight="1">
      <x:c r="A569" s="60" t="str">
        <x:v>DOS-031</x:v>
      </x:c>
      <x:c r="B569" s="37" t="str">
        <x:v>QuoteCraft AI</x:v>
      </x:c>
      <x:c r="C569" s="37" t="str">
        <x:v>FAM-05</x:v>
      </x:c>
      <x:c r="D569" s="37" t="str">
        <x:v>Structured database &amp; persistent records</x:v>
      </x:c>
      <x:c r="E569" s="37" t="str">
        <x:v>Must</x:v>
      </x:c>
      <x:c r="F569" s="37" t="str">
        <x:v>Strict-route gate</x:v>
      </x:c>
      <x:c r="G569" s="37" t="str">
        <x:v>QuoteCraft AI: Reliable structured data storage, retrieval, and updates.</x:v>
      </x:c>
      <x:c r="H569" s="38" t="str">
        <x:v>Recover current prototype behavior, intended user, input/output, and first-dollar model.</x:v>
      </x:c>
    </x:row>
    <x:row r="570" ht="48" customHeight="1">
      <x:c r="A570" s="60" t="str">
        <x:v>DOS-031</x:v>
      </x:c>
      <x:c r="B570" s="37" t="str">
        <x:v>QuoteCraft AI</x:v>
      </x:c>
      <x:c r="C570" s="37" t="str">
        <x:v>FAM-12</x:v>
      </x:c>
      <x:c r="D570" s="37" t="str">
        <x:v>AI text generation, analysis &amp; agents</x:v>
      </x:c>
      <x:c r="E570" s="37" t="str">
        <x:v>Must</x:v>
      </x:c>
      <x:c r="F570" s="37" t="str">
        <x:v>Strict-route gate</x:v>
      </x:c>
      <x:c r="G570" s="37" t="str">
        <x:v>QuoteCraft AI: Prompted generation, classification, summarization, reasoning, or assistant behavior.</x:v>
      </x:c>
      <x:c r="H570" s="38" t="str">
        <x:v>Recover current prototype behavior, intended user, input/output, and first-dollar model.</x:v>
      </x:c>
    </x:row>
    <x:row r="571" ht="48" customHeight="1">
      <x:c r="A571" s="60" t="str">
        <x:v>DOS-031</x:v>
      </x:c>
      <x:c r="B571" s="37" t="str">
        <x:v>QuoteCraft AI</x:v>
      </x:c>
      <x:c r="C571" s="37" t="str">
        <x:v>FAM-23</x:v>
      </x:c>
      <x:c r="D571" s="37" t="str">
        <x:v>Public website, SEO &amp; domain control</x:v>
      </x:c>
      <x:c r="E571" s="37" t="str">
        <x:v>Must</x:v>
      </x:c>
      <x:c r="F571" s="37" t="str">
        <x:v>Strict-route gate</x:v>
      </x:c>
      <x:c r="G571" s="37" t="str">
        <x:v>QuoteCraft AI: Public pages, discoverability, custom domain, shareability, and search metadata.</x:v>
      </x:c>
      <x:c r="H571" s="38" t="str">
        <x:v>Recover current prototype behavior, intended user, input/output, and first-dollar model.</x:v>
      </x:c>
    </x:row>
    <x:row r="572" ht="48" customHeight="1">
      <x:c r="A572" s="60" t="str">
        <x:v>DOS-031</x:v>
      </x:c>
      <x:c r="B572" s="37" t="str">
        <x:v>QuoteCraft AI</x:v>
      </x:c>
      <x:c r="C572" s="37" t="str">
        <x:v>FAM-24</x:v>
      </x:c>
      <x:c r="D572" s="37" t="str">
        <x:v>Export, publishing &amp; share routes</x:v>
      </x:c>
      <x:c r="E572" s="37" t="str">
        <x:v>Must</x:v>
      </x:c>
      <x:c r="F572" s="37" t="str">
        <x:v>Strict-route gate</x:v>
      </x:c>
      <x:c r="G572" s="37" t="str">
        <x:v>QuoteCraft AI: Download/export, social publishing, share links, and portable output packages.</x:v>
      </x:c>
      <x:c r="H572" s="38" t="str">
        <x:v>Recover current prototype behavior, intended user, input/output, and first-dollar model.</x:v>
      </x:c>
    </x:row>
    <x:row r="573" ht="48" customHeight="1">
      <x:c r="A573" s="60" t="str">
        <x:v>DOS-031</x:v>
      </x:c>
      <x:c r="B573" s="37" t="str">
        <x:v>QuoteCraft AI</x:v>
      </x:c>
      <x:c r="C573" s="37" t="str">
        <x:v>FAM-27</x:v>
      </x:c>
      <x:c r="D573" s="37" t="str">
        <x:v>Portability, ownership &amp; escape path</x:v>
      </x:c>
      <x:c r="E573" s="37" t="str">
        <x:v>Must</x:v>
      </x:c>
      <x:c r="F573" s="37" t="str">
        <x:v>Strict-route gate</x:v>
      </x:c>
      <x:c r="G573" s="37" t="str">
        <x:v>QuoteCraft AI: Code/data export, GitHub, custom domains, migration, and lock-in control.</x:v>
      </x:c>
      <x:c r="H573" s="38" t="str">
        <x:v>Recover current prototype behavior, intended user, input/output, and first-dollar model.</x:v>
      </x:c>
    </x:row>
    <x:row r="574" ht="48" customHeight="1">
      <x:c r="A574" s="60" t="str">
        <x:v>DOS-031</x:v>
      </x:c>
      <x:c r="B574" s="37" t="str">
        <x:v>QuoteCraft AI</x:v>
      </x:c>
      <x:c r="C574" s="37" t="str">
        <x:v>FAM-28</x:v>
      </x:c>
      <x:c r="D574" s="37" t="str">
        <x:v>Custom code &amp; extensibility</x:v>
      </x:c>
      <x:c r="E574" s="37" t="str">
        <x:v>Must</x:v>
      </x:c>
      <x:c r="F574" s="37" t="str">
        <x:v>Strict-route gate</x:v>
      </x:c>
      <x:c r="G574" s="37" t="str">
        <x:v>QuoteCraft AI: Ability to add bespoke logic, components, SDKs, or developer assistance.</x:v>
      </x:c>
      <x:c r="H574" s="38" t="str">
        <x:v>Recover current prototype behavior, intended user, input/output, and first-dollar model.</x:v>
      </x:c>
    </x:row>
    <x:row r="575" ht="48" customHeight="1">
      <x:c r="A575" s="60" t="str">
        <x:v>DOS-031</x:v>
      </x:c>
      <x:c r="B575" s="37" t="str">
        <x:v>QuoteCraft AI</x:v>
      </x:c>
      <x:c r="C575" s="37" t="str">
        <x:v>FAM-02</x:v>
      </x:c>
      <x:c r="D575" s="37" t="str">
        <x:v>Android/mobile builder workability</x:v>
      </x:c>
      <x:c r="E575" s="37" t="str">
        <x:v>Important</x:v>
      </x:c>
      <x:c r="F575" s="37" t="str">
        <x:v>Score after gates</x:v>
      </x:c>
      <x:c r="G575" s="37" t="str">
        <x:v>QuoteCraft AI: Derek can build, edit, preview, test, and deploy with reasonable Android/mobile friction.</x:v>
      </x:c>
      <x:c r="H575" s="38" t="str">
        <x:v>Treat as a narrow test build until its real problem statement is restored.</x:v>
      </x:c>
    </x:row>
    <x:row r="576" ht="48" customHeight="1">
      <x:c r="A576" s="60" t="str">
        <x:v>DOS-031</x:v>
      </x:c>
      <x:c r="B576" s="37" t="str">
        <x:v>QuoteCraft AI</x:v>
      </x:c>
      <x:c r="C576" s="37" t="str">
        <x:v>FAM-03</x:v>
      </x:c>
      <x:c r="D576" s="37" t="str">
        <x:v>Authentication, identity &amp; roles</x:v>
      </x:c>
      <x:c r="E576" s="37" t="str">
        <x:v>Important</x:v>
      </x:c>
      <x:c r="F576" s="37" t="str">
        <x:v>Score after gates</x:v>
      </x:c>
      <x:c r="G576" s="37" t="str">
        <x:v>QuoteCraft AI: Sign-in, role-aware access, member identity, and permissions.</x:v>
      </x:c>
      <x:c r="H576" s="38" t="str">
        <x:v>Treat as a narrow test build until its real problem statement is restored.</x:v>
      </x:c>
    </x:row>
    <x:row r="577" ht="48" customHeight="1">
      <x:c r="A577" s="60" t="str">
        <x:v>DOS-031</x:v>
      </x:c>
      <x:c r="B577" s="37" t="str">
        <x:v>QuoteCraft AI</x:v>
      </x:c>
      <x:c r="C577" s="37" t="str">
        <x:v>FAM-13</x:v>
      </x:c>
      <x:c r="D577" s="37" t="str">
        <x:v>OCR &amp; structured extraction</x:v>
      </x:c>
      <x:c r="E577" s="37" t="str">
        <x:v>Important</x:v>
      </x:c>
      <x:c r="F577" s="37" t="str">
        <x:v>Score after gates</x:v>
      </x:c>
      <x:c r="G577" s="37" t="str">
        <x:v>QuoteCraft AI: Extract fields from screenshots, documents, receipts, or messy content.</x:v>
      </x:c>
      <x:c r="H577" s="38" t="str">
        <x:v>Treat as a narrow test build until its real problem statement is restored.</x:v>
      </x:c>
    </x:row>
    <x:row r="578" ht="48" customHeight="1">
      <x:c r="A578" s="60" t="str">
        <x:v>DOS-031</x:v>
      </x:c>
      <x:c r="B578" s="37" t="str">
        <x:v>QuoteCraft AI</x:v>
      </x:c>
      <x:c r="C578" s="37" t="str">
        <x:v>FAM-14</x:v>
      </x:c>
      <x:c r="D578" s="37" t="str">
        <x:v>Personalization, memory &amp; preferences</x:v>
      </x:c>
      <x:c r="E578" s="37" t="str">
        <x:v>Important</x:v>
      </x:c>
      <x:c r="F578" s="37" t="str">
        <x:v>Score after gates</x:v>
      </x:c>
      <x:c r="G578" s="37" t="str">
        <x:v>QuoteCraft AI: Saved preferences, history, source memory, and adaptive outputs.</x:v>
      </x:c>
      <x:c r="H578" s="38" t="str">
        <x:v>Treat as a narrow test build until its real problem statement is restored.</x:v>
      </x:c>
    </x:row>
    <x:row r="579" ht="48" customHeight="1">
      <x:c r="A579" s="60" t="str">
        <x:v>DOS-031</x:v>
      </x:c>
      <x:c r="B579" s="37" t="str">
        <x:v>QuoteCraft AI</x:v>
      </x:c>
      <x:c r="C579" s="37" t="str">
        <x:v>FAM-17</x:v>
      </x:c>
      <x:c r="D579" s="37" t="str">
        <x:v>Payments, subscriptions &amp; billing</x:v>
      </x:c>
      <x:c r="E579" s="37" t="str">
        <x:v>Important</x:v>
      </x:c>
      <x:c r="F579" s="37" t="str">
        <x:v>Score after gates</x:v>
      </x:c>
      <x:c r="G579" s="37" t="str">
        <x:v>QuoteCraft AI: Payments, subscriptions, checkout, entitlements, and billing-aware workflows.</x:v>
      </x:c>
      <x:c r="H579" s="38" t="str">
        <x:v>Treat as a narrow test build until its real problem statement is restored.</x:v>
      </x:c>
    </x:row>
    <x:row r="580" ht="48" customHeight="1">
      <x:c r="A580" s="60" t="str">
        <x:v>DOS-031</x:v>
      </x:c>
      <x:c r="B580" s="37" t="str">
        <x:v>QuoteCraft AI</x:v>
      </x:c>
      <x:c r="C580" s="37" t="str">
        <x:v>FAM-25</x:v>
      </x:c>
      <x:c r="D580" s="37" t="str">
        <x:v>Analytics, reporting &amp; decision dashboards</x:v>
      </x:c>
      <x:c r="E580" s="37" t="str">
        <x:v>Important</x:v>
      </x:c>
      <x:c r="F580" s="37" t="str">
        <x:v>Score after gates</x:v>
      </x:c>
      <x:c r="G580" s="37" t="str">
        <x:v>QuoteCraft AI: Usage metrics, charts, rankings, reporting, and decision support.</x:v>
      </x:c>
      <x:c r="H580" s="38" t="str">
        <x:v>Treat as a narrow test build until its real problem statement is restored.</x:v>
      </x:c>
    </x:row>
    <x:row r="581" ht="48" customHeight="1">
      <x:c r="A581" s="60" t="str">
        <x:v>DOS-031</x:v>
      </x:c>
      <x:c r="B581" s="37" t="str">
        <x:v>QuoteCraft AI</x:v>
      </x:c>
      <x:c r="C581" s="37" t="str">
        <x:v>FAM-29</x:v>
      </x:c>
      <x:c r="D581" s="37" t="str">
        <x:v>Backend functions, APIs &amp; background compute</x:v>
      </x:c>
      <x:c r="E581" s="37" t="str">
        <x:v>Important</x:v>
      </x:c>
      <x:c r="F581" s="37" t="str">
        <x:v>Score after gates</x:v>
      </x:c>
      <x:c r="G581" s="37" t="str">
        <x:v>QuoteCraft AI: Server functions, secure APIs, logs, queues, scheduled tasks, and secrets.</x:v>
      </x:c>
      <x:c r="H581" s="38" t="str">
        <x:v>Treat as a narrow test build until its real problem statement is restored.</x:v>
      </x:c>
    </x:row>
    <x:row r="582" ht="48" customHeight="1">
      <x:c r="A582" s="60" t="str">
        <x:v>DOS-031</x:v>
      </x:c>
      <x:c r="B582" s="37" t="str">
        <x:v>QuoteCraft AI</x:v>
      </x:c>
      <x:c r="C582" s="37" t="str">
        <x:v>FAM-35</x:v>
      </x:c>
      <x:c r="D582" s="37" t="str">
        <x:v>Privacy, consent &amp; audit trail</x:v>
      </x:c>
      <x:c r="E582" s="37" t="str">
        <x:v>Important</x:v>
      </x:c>
      <x:c r="F582" s="37" t="str">
        <x:v>Score after gates</x:v>
      </x:c>
      <x:c r="G582" s="37" t="str">
        <x:v>QuoteCraft AI: Consent, retention, access controls, provenance, and auditable actions.</x:v>
      </x:c>
      <x:c r="H582" s="38" t="str">
        <x:v>Treat as a narrow test build until its real problem statement is restored.</x:v>
      </x:c>
    </x:row>
    <x:row r="583" ht="48" customHeight="1">
      <x:c r="A583" s="60" t="str">
        <x:v>DOS-031</x:v>
      </x:c>
      <x:c r="B583" s="37" t="str">
        <x:v>QuoteCraft AI</x:v>
      </x:c>
      <x:c r="C583" s="37" t="str">
        <x:v>FAM-15</x:v>
      </x:c>
      <x:c r="D583" s="37" t="str">
        <x:v>Social, realtime &amp; collaboration</x:v>
      </x:c>
      <x:c r="E583" s="37" t="str">
        <x:v>Expansion</x:v>
      </x:c>
      <x:c r="F583" s="37" t="str">
        <x:v>Flexible / later only</x:v>
      </x:c>
      <x:c r="G583" s="37" t="str">
        <x:v>QuoteCraft AI: Feeds, messaging, groups, sharing, realtime updates, or multi-user creation.</x:v>
      </x:c>
      <x:c r="H583" s="38" t="str">
        <x:v>Potential quote generation, CRM, or service-estimate workflows.</x:v>
      </x:c>
    </x:row>
    <x:row r="584" ht="48" customHeight="1">
      <x:c r="A584" s="60" t="str">
        <x:v>DOS-031</x:v>
      </x:c>
      <x:c r="B584" s="37" t="str">
        <x:v>QuoteCraft AI</x:v>
      </x:c>
      <x:c r="C584" s="37" t="str">
        <x:v>FAM-20</x:v>
      </x:c>
      <x:c r="D584" s="37" t="str">
        <x:v>Notifications, reminders &amp; deadlines</x:v>
      </x:c>
      <x:c r="E584" s="37" t="str">
        <x:v>Expansion</x:v>
      </x:c>
      <x:c r="F584" s="37" t="str">
        <x:v>Flexible / later only</x:v>
      </x:c>
      <x:c r="G584" s="37" t="str">
        <x:v>QuoteCraft AI: Push/email/in-app reminders, scheduled tasks, and time-bound flows.</x:v>
      </x:c>
      <x:c r="H584" s="38" t="str">
        <x:v>Potential quote generation, CRM, or service-estimate workflows.</x:v>
      </x:c>
    </x:row>
    <x:row r="585" ht="48" customHeight="1">
      <x:c r="A585" s="60" t="str">
        <x:v>DOS-031</x:v>
      </x:c>
      <x:c r="B585" s="37" t="str">
        <x:v>QuoteCraft AI</x:v>
      </x:c>
      <x:c r="C585" s="37" t="str">
        <x:v>FAM-32</x:v>
      </x:c>
      <x:c r="D585" s="37" t="str">
        <x:v>Marketplace, templates &amp; creator assets</x:v>
      </x:c>
      <x:c r="E585" s="37" t="str">
        <x:v>Expansion</x:v>
      </x:c>
      <x:c r="F585" s="37" t="str">
        <x:v>Flexible / later only</x:v>
      </x:c>
      <x:c r="G585" s="37" t="str">
        <x:v>QuoteCraft AI: Listings, reusable assets, creator publishing, reviews, and marketplace rules.</x:v>
      </x:c>
      <x:c r="H585" s="38" t="str">
        <x:v>Potential quote generation, CRM, or service-estimate workflows.</x:v>
      </x:c>
    </x:row>
    <x:row r="586" ht="48" customHeight="1">
      <x:c r="A586" s="60" t="str">
        <x:v>DOS-031</x:v>
      </x:c>
      <x:c r="B586" s="37" t="str">
        <x:v>QuoteCraft AI</x:v>
      </x:c>
      <x:c r="C586" s="37" t="str">
        <x:v>FAM-36</x:v>
      </x:c>
      <x:c r="D586" s="37" t="str">
        <x:v>Scoring, ranking &amp; matching logic</x:v>
      </x:c>
      <x:c r="E586" s="37" t="str">
        <x:v>Expansion</x:v>
      </x:c>
      <x:c r="F586" s="37" t="str">
        <x:v>Flexible / later only</x:v>
      </x:c>
      <x:c r="G586" s="37" t="str">
        <x:v>QuoteCraft AI: Transparent scorecards, requirements matching, routes, and tie-break explanations.</x:v>
      </x:c>
      <x:c r="H586" s="38" t="str">
        <x:v>Potential quote generation, CRM, or service-estimate workflows.</x:v>
      </x:c>
    </x:row>
    <x:row r="587" ht="48" customHeight="1">
      <x:c r="A587" s="60" t="str">
        <x:v>DOS-032</x:v>
      </x:c>
      <x:c r="B587" s="37" t="str">
        <x:v>Microtool Studio &amp; Split-Screen Companions</x:v>
      </x:c>
      <x:c r="C587" s="37" t="str">
        <x:v>FAM-01</x:v>
      </x:c>
      <x:c r="D587" s="37" t="str">
        <x:v>Responsive web / PWA interface</x:v>
      </x:c>
      <x:c r="E587" s="37" t="str">
        <x:v>Must</x:v>
      </x:c>
      <x:c r="F587" s="37" t="str">
        <x:v>Strict-route gate</x:v>
      </x:c>
      <x:c r="G587" s="37" t="str">
        <x:v>Microtool Studio &amp; Split-Screen Companions: Mobile-first responsive screens and app-like web navigation.</x:v>
      </x:c>
      <x:c r="H587" s="38" t="str">
        <x:v>Choose one test tool, shared landing/account/billing approach, simple release template, analytics.</x:v>
      </x:c>
    </x:row>
    <x:row r="588" ht="48" customHeight="1">
      <x:c r="A588" s="60" t="str">
        <x:v>DOS-032</x:v>
      </x:c>
      <x:c r="B588" s="37" t="str">
        <x:v>Microtool Studio &amp; Split-Screen Companions</x:v>
      </x:c>
      <x:c r="C588" s="37" t="str">
        <x:v>FAM-03</x:v>
      </x:c>
      <x:c r="D588" s="37" t="str">
        <x:v>Authentication, identity &amp; roles</x:v>
      </x:c>
      <x:c r="E588" s="37" t="str">
        <x:v>Must</x:v>
      </x:c>
      <x:c r="F588" s="37" t="str">
        <x:v>Strict-route gate</x:v>
      </x:c>
      <x:c r="G588" s="37" t="str">
        <x:v>Microtool Studio &amp; Split-Screen Companions: Sign-in, role-aware access, member identity, and permissions.</x:v>
      </x:c>
      <x:c r="H588" s="38" t="str">
        <x:v>Choose one test tool, shared landing/account/billing approach, simple release template, analytics.</x:v>
      </x:c>
    </x:row>
    <x:row r="589" ht="48" customHeight="1">
      <x:c r="A589" s="60" t="str">
        <x:v>DOS-032</x:v>
      </x:c>
      <x:c r="B589" s="37" t="str">
        <x:v>Microtool Studio &amp; Split-Screen Companions</x:v>
      </x:c>
      <x:c r="C589" s="37" t="str">
        <x:v>FAM-04</x:v>
      </x:c>
      <x:c r="D589" s="37" t="str">
        <x:v>Profiles, portfolios &amp; relationship records</x:v>
      </x:c>
      <x:c r="E589" s="37" t="str">
        <x:v>Must</x:v>
      </x:c>
      <x:c r="F589" s="37" t="str">
        <x:v>Strict-route gate</x:v>
      </x:c>
      <x:c r="G589" s="37" t="str">
        <x:v>Microtool Studio &amp; Split-Screen Companions: Persistent user/member/creator profiles and linked relationships.</x:v>
      </x:c>
      <x:c r="H589" s="38" t="str">
        <x:v>Choose one test tool, shared landing/account/billing approach, simple release template, analytics.</x:v>
      </x:c>
    </x:row>
    <x:row r="590" ht="48" customHeight="1">
      <x:c r="A590" s="60" t="str">
        <x:v>DOS-032</x:v>
      </x:c>
      <x:c r="B590" s="37" t="str">
        <x:v>Microtool Studio &amp; Split-Screen Companions</x:v>
      </x:c>
      <x:c r="C590" s="37" t="str">
        <x:v>FAM-05</x:v>
      </x:c>
      <x:c r="D590" s="37" t="str">
        <x:v>Structured database &amp; persistent records</x:v>
      </x:c>
      <x:c r="E590" s="37" t="str">
        <x:v>Must</x:v>
      </x:c>
      <x:c r="F590" s="37" t="str">
        <x:v>Strict-route gate</x:v>
      </x:c>
      <x:c r="G590" s="37" t="str">
        <x:v>Microtool Studio &amp; Split-Screen Companions: Reliable structured data storage, retrieval, and updates.</x:v>
      </x:c>
      <x:c r="H590" s="38" t="str">
        <x:v>Choose one test tool, shared landing/account/billing approach, simple release template, analytics.</x:v>
      </x:c>
    </x:row>
    <x:row r="591" ht="48" customHeight="1">
      <x:c r="A591" s="60" t="str">
        <x:v>DOS-032</x:v>
      </x:c>
      <x:c r="B591" s="37" t="str">
        <x:v>Microtool Studio &amp; Split-Screen Companions</x:v>
      </x:c>
      <x:c r="C591" s="37" t="str">
        <x:v>FAM-06</x:v>
      </x:c>
      <x:c r="D591" s="37" t="str">
        <x:v>Search, filters, lists &amp; directories</x:v>
      </x:c>
      <x:c r="E591" s="37" t="str">
        <x:v>Must</x:v>
      </x:c>
      <x:c r="F591" s="37" t="str">
        <x:v>Strict-route gate</x:v>
      </x:c>
      <x:c r="G591" s="37" t="str">
        <x:v>Microtool Studio &amp; Split-Screen Companions: Searchable libraries, member lists, catalog browsing, and filtered views.</x:v>
      </x:c>
      <x:c r="H591" s="38" t="str">
        <x:v>Choose one test tool, shared landing/account/billing approach, simple release template, analytics.</x:v>
      </x:c>
    </x:row>
    <x:row r="592" ht="48" customHeight="1">
      <x:c r="A592" s="60" t="str">
        <x:v>DOS-032</x:v>
      </x:c>
      <x:c r="B592" s="37" t="str">
        <x:v>Microtool Studio &amp; Split-Screen Companions</x:v>
      </x:c>
      <x:c r="C592" s="37" t="str">
        <x:v>FAM-17</x:v>
      </x:c>
      <x:c r="D592" s="37" t="str">
        <x:v>Payments, subscriptions &amp; billing</x:v>
      </x:c>
      <x:c r="E592" s="37" t="str">
        <x:v>Must</x:v>
      </x:c>
      <x:c r="F592" s="37" t="str">
        <x:v>Strict-route gate</x:v>
      </x:c>
      <x:c r="G592" s="37" t="str">
        <x:v>Microtool Studio &amp; Split-Screen Companions: Payments, subscriptions, checkout, entitlements, and billing-aware workflows.</x:v>
      </x:c>
      <x:c r="H592" s="38" t="str">
        <x:v>Choose one test tool, shared landing/account/billing approach, simple release template, analytics.</x:v>
      </x:c>
    </x:row>
    <x:row r="593" ht="48" customHeight="1">
      <x:c r="A593" s="60" t="str">
        <x:v>DOS-032</x:v>
      </x:c>
      <x:c r="B593" s="37" t="str">
        <x:v>Microtool Studio &amp; Split-Screen Companions</x:v>
      </x:c>
      <x:c r="C593" s="37" t="str">
        <x:v>FAM-23</x:v>
      </x:c>
      <x:c r="D593" s="37" t="str">
        <x:v>Public website, SEO &amp; domain control</x:v>
      </x:c>
      <x:c r="E593" s="37" t="str">
        <x:v>Must</x:v>
      </x:c>
      <x:c r="F593" s="37" t="str">
        <x:v>Strict-route gate</x:v>
      </x:c>
      <x:c r="G593" s="37" t="str">
        <x:v>Microtool Studio &amp; Split-Screen Companions: Public pages, discoverability, custom domain, shareability, and search metadata.</x:v>
      </x:c>
      <x:c r="H593" s="38" t="str">
        <x:v>Choose one test tool, shared landing/account/billing approach, simple release template, analytics.</x:v>
      </x:c>
    </x:row>
    <x:row r="594" ht="48" customHeight="1">
      <x:c r="A594" s="60" t="str">
        <x:v>DOS-032</x:v>
      </x:c>
      <x:c r="B594" s="37" t="str">
        <x:v>Microtool Studio &amp; Split-Screen Companions</x:v>
      </x:c>
      <x:c r="C594" s="37" t="str">
        <x:v>FAM-26</x:v>
      </x:c>
      <x:c r="D594" s="37" t="str">
        <x:v>Admin, CMS &amp; operational management</x:v>
      </x:c>
      <x:c r="E594" s="37" t="str">
        <x:v>Must</x:v>
      </x:c>
      <x:c r="F594" s="37" t="str">
        <x:v>Strict-route gate</x:v>
      </x:c>
      <x:c r="G594" s="37" t="str">
        <x:v>Microtool Studio &amp; Split-Screen Companions: Admin views, content management, operational review, and human overrides.</x:v>
      </x:c>
      <x:c r="H594" s="38" t="str">
        <x:v>Choose one test tool, shared landing/account/billing approach, simple release template, analytics.</x:v>
      </x:c>
    </x:row>
    <x:row r="595" ht="48" customHeight="1">
      <x:c r="A595" s="60" t="str">
        <x:v>DOS-032</x:v>
      </x:c>
      <x:c r="B595" s="37" t="str">
        <x:v>Microtool Studio &amp; Split-Screen Companions</x:v>
      </x:c>
      <x:c r="C595" s="37" t="str">
        <x:v>FAM-32</x:v>
      </x:c>
      <x:c r="D595" s="37" t="str">
        <x:v>Marketplace, templates &amp; creator assets</x:v>
      </x:c>
      <x:c r="E595" s="37" t="str">
        <x:v>Must</x:v>
      </x:c>
      <x:c r="F595" s="37" t="str">
        <x:v>Strict-route gate</x:v>
      </x:c>
      <x:c r="G595" s="37" t="str">
        <x:v>Microtool Studio &amp; Split-Screen Companions: Listings, reusable assets, creator publishing, reviews, and marketplace rules.</x:v>
      </x:c>
      <x:c r="H595" s="38" t="str">
        <x:v>Choose one test tool, shared landing/account/billing approach, simple release template, analytics.</x:v>
      </x:c>
    </x:row>
    <x:row r="596" ht="48" customHeight="1">
      <x:c r="A596" s="60" t="str">
        <x:v>DOS-032</x:v>
      </x:c>
      <x:c r="B596" s="37" t="str">
        <x:v>Microtool Studio &amp; Split-Screen Companions</x:v>
      </x:c>
      <x:c r="C596" s="37" t="str">
        <x:v>FAM-02</x:v>
      </x:c>
      <x:c r="D596" s="37" t="str">
        <x:v>Android/mobile builder workability</x:v>
      </x:c>
      <x:c r="E596" s="37" t="str">
        <x:v>Important</x:v>
      </x:c>
      <x:c r="F596" s="37" t="str">
        <x:v>Score after gates</x:v>
      </x:c>
      <x:c r="G596" s="37" t="str">
        <x:v>Microtool Studio &amp; Split-Screen Companions: Derek can build, edit, preview, test, and deploy with reasonable Android/mobile friction.</x:v>
      </x:c>
      <x:c r="H596" s="38" t="str">
        <x:v>Prove one narrow utility before building the studio infrastructure.</x:v>
      </x:c>
    </x:row>
    <x:row r="597" ht="48" customHeight="1">
      <x:c r="A597" s="60" t="str">
        <x:v>DOS-032</x:v>
      </x:c>
      <x:c r="B597" s="37" t="str">
        <x:v>Microtool Studio &amp; Split-Screen Companions</x:v>
      </x:c>
      <x:c r="C597" s="37" t="str">
        <x:v>FAM-07</x:v>
      </x:c>
      <x:c r="D597" s="37" t="str">
        <x:v>File intake, storage &amp; lifecycle</x:v>
      </x:c>
      <x:c r="E597" s="37" t="str">
        <x:v>Important</x:v>
      </x:c>
      <x:c r="F597" s="37" t="str">
        <x:v>Score after gates</x:v>
      </x:c>
      <x:c r="G597" s="37" t="str">
        <x:v>Microtool Studio &amp; Split-Screen Companions: Upload/import, validation, storage, retention, and file-size handling.</x:v>
      </x:c>
      <x:c r="H597" s="38" t="str">
        <x:v>Prove one narrow utility before building the studio infrastructure.</x:v>
      </x:c>
    </x:row>
    <x:row r="598" ht="48" customHeight="1">
      <x:c r="A598" s="60" t="str">
        <x:v>DOS-032</x:v>
      </x:c>
      <x:c r="B598" s="37" t="str">
        <x:v>Microtool Studio &amp; Split-Screen Companions</x:v>
      </x:c>
      <x:c r="C598" s="37" t="str">
        <x:v>FAM-15</x:v>
      </x:c>
      <x:c r="D598" s="37" t="str">
        <x:v>Social, realtime &amp; collaboration</x:v>
      </x:c>
      <x:c r="E598" s="37" t="str">
        <x:v>Important</x:v>
      </x:c>
      <x:c r="F598" s="37" t="str">
        <x:v>Score after gates</x:v>
      </x:c>
      <x:c r="G598" s="37" t="str">
        <x:v>Microtool Studio &amp; Split-Screen Companions: Feeds, messaging, groups, sharing, realtime updates, or multi-user creation.</x:v>
      </x:c>
      <x:c r="H598" s="38" t="str">
        <x:v>Prove one narrow utility before building the studio infrastructure.</x:v>
      </x:c>
    </x:row>
    <x:row r="599" ht="48" customHeight="1">
      <x:c r="A599" s="60" t="str">
        <x:v>DOS-032</x:v>
      </x:c>
      <x:c r="B599" s="37" t="str">
        <x:v>Microtool Studio &amp; Split-Screen Companions</x:v>
      </x:c>
      <x:c r="C599" s="37" t="str">
        <x:v>FAM-16</x:v>
      </x:c>
      <x:c r="D599" s="37" t="str">
        <x:v>Content moderation &amp; reporting</x:v>
      </x:c>
      <x:c r="E599" s="37" t="str">
        <x:v>Important</x:v>
      </x:c>
      <x:c r="F599" s="37" t="str">
        <x:v>Score after gates</x:v>
      </x:c>
      <x:c r="G599" s="37" t="str">
        <x:v>Microtool Studio &amp; Split-Screen Companions: Reports, queues, permissions, review actions, and community safety controls.</x:v>
      </x:c>
      <x:c r="H599" s="38" t="str">
        <x:v>Prove one narrow utility before building the studio infrastructure.</x:v>
      </x:c>
    </x:row>
    <x:row r="600" ht="48" customHeight="1">
      <x:c r="A600" s="60" t="str">
        <x:v>DOS-032</x:v>
      </x:c>
      <x:c r="B600" s="37" t="str">
        <x:v>Microtool Studio &amp; Split-Screen Companions</x:v>
      </x:c>
      <x:c r="C600" s="37" t="str">
        <x:v>FAM-21</x:v>
      </x:c>
      <x:c r="D600" s="37" t="str">
        <x:v>Automations, webhooks &amp; scheduled jobs</x:v>
      </x:c>
      <x:c r="E600" s="37" t="str">
        <x:v>Important</x:v>
      </x:c>
      <x:c r="F600" s="37" t="str">
        <x:v>Score after gates</x:v>
      </x:c>
      <x:c r="G600" s="37" t="str">
        <x:v>Microtool Studio &amp; Split-Screen Companions: Event-driven workflows, scheduled tasks, background processes, and webhooks.</x:v>
      </x:c>
      <x:c r="H600" s="38" t="str">
        <x:v>Prove one narrow utility before building the studio infrastructure.</x:v>
      </x:c>
    </x:row>
    <x:row r="601" ht="48" customHeight="1">
      <x:c r="A601" s="60" t="str">
        <x:v>DOS-032</x:v>
      </x:c>
      <x:c r="B601" s="37" t="str">
        <x:v>Microtool Studio &amp; Split-Screen Companions</x:v>
      </x:c>
      <x:c r="C601" s="37" t="str">
        <x:v>FAM-25</x:v>
      </x:c>
      <x:c r="D601" s="37" t="str">
        <x:v>Analytics, reporting &amp; decision dashboards</x:v>
      </x:c>
      <x:c r="E601" s="37" t="str">
        <x:v>Important</x:v>
      </x:c>
      <x:c r="F601" s="37" t="str">
        <x:v>Score after gates</x:v>
      </x:c>
      <x:c r="G601" s="37" t="str">
        <x:v>Microtool Studio &amp; Split-Screen Companions: Usage metrics, charts, rankings, reporting, and decision support.</x:v>
      </x:c>
      <x:c r="H601" s="38" t="str">
        <x:v>Prove one narrow utility before building the studio infrastructure.</x:v>
      </x:c>
    </x:row>
    <x:row r="602" ht="48" customHeight="1">
      <x:c r="A602" s="60" t="str">
        <x:v>DOS-032</x:v>
      </x:c>
      <x:c r="B602" s="37" t="str">
        <x:v>Microtool Studio &amp; Split-Screen Companions</x:v>
      </x:c>
      <x:c r="C602" s="37" t="str">
        <x:v>FAM-27</x:v>
      </x:c>
      <x:c r="D602" s="37" t="str">
        <x:v>Portability, ownership &amp; escape path</x:v>
      </x:c>
      <x:c r="E602" s="37" t="str">
        <x:v>Important</x:v>
      </x:c>
      <x:c r="F602" s="37" t="str">
        <x:v>Score after gates</x:v>
      </x:c>
      <x:c r="G602" s="37" t="str">
        <x:v>Microtool Studio &amp; Split-Screen Companions: Code/data export, GitHub, custom domains, migration, and lock-in control.</x:v>
      </x:c>
      <x:c r="H602" s="38" t="str">
        <x:v>Prove one narrow utility before building the studio infrastructure.</x:v>
      </x:c>
    </x:row>
    <x:row r="603" ht="48" customHeight="1">
      <x:c r="A603" s="60" t="str">
        <x:v>DOS-032</x:v>
      </x:c>
      <x:c r="B603" s="37" t="str">
        <x:v>Microtool Studio &amp; Split-Screen Companions</x:v>
      </x:c>
      <x:c r="C603" s="37" t="str">
        <x:v>FAM-35</x:v>
      </x:c>
      <x:c r="D603" s="37" t="str">
        <x:v>Privacy, consent &amp; audit trail</x:v>
      </x:c>
      <x:c r="E603" s="37" t="str">
        <x:v>Important</x:v>
      </x:c>
      <x:c r="F603" s="37" t="str">
        <x:v>Score after gates</x:v>
      </x:c>
      <x:c r="G603" s="37" t="str">
        <x:v>Microtool Studio &amp; Split-Screen Companions: Consent, retention, access controls, provenance, and auditable actions.</x:v>
      </x:c>
      <x:c r="H603" s="38" t="str">
        <x:v>Prove one narrow utility before building the studio infrastructure.</x:v>
      </x:c>
    </x:row>
    <x:row r="604" ht="48" customHeight="1">
      <x:c r="A604" s="60" t="str">
        <x:v>DOS-032</x:v>
      </x:c>
      <x:c r="B604" s="37" t="str">
        <x:v>Microtool Studio &amp; Split-Screen Companions</x:v>
      </x:c>
      <x:c r="C604" s="37" t="str">
        <x:v>FAM-12</x:v>
      </x:c>
      <x:c r="D604" s="37" t="str">
        <x:v>AI text generation, analysis &amp; agents</x:v>
      </x:c>
      <x:c r="E604" s="37" t="str">
        <x:v>Expansion</x:v>
      </x:c>
      <x:c r="F604" s="37" t="str">
        <x:v>Flexible / later only</x:v>
      </x:c>
      <x:c r="G604" s="37" t="str">
        <x:v>Microtool Studio &amp; Split-Screen Companions: Prompted generation, classification, summarization, reasoning, or assistant behavior.</x:v>
      </x:c>
      <x:c r="H604" s="38" t="str">
        <x:v>Tiny-task router, camera-hole shelf, creator storefront, reusable app shell.</x:v>
      </x:c>
    </x:row>
    <x:row r="605" ht="48" customHeight="1">
      <x:c r="A605" s="60" t="str">
        <x:v>DOS-032</x:v>
      </x:c>
      <x:c r="B605" s="37" t="str">
        <x:v>Microtool Studio &amp; Split-Screen Companions</x:v>
      </x:c>
      <x:c r="C605" s="37" t="str">
        <x:v>FAM-19</x:v>
      </x:c>
      <x:c r="D605" s="37" t="str">
        <x:v>Rewards, badges &amp; entitlements</x:v>
      </x:c>
      <x:c r="E605" s="37" t="str">
        <x:v>Expansion</x:v>
      </x:c>
      <x:c r="F605" s="37" t="str">
        <x:v>Flexible / later only</x:v>
      </x:c>
      <x:c r="G605" s="37" t="str">
        <x:v>Microtool Studio &amp; Split-Screen Companions: Loyalty, roles, rewards, badges, credits, and access logic.</x:v>
      </x:c>
      <x:c r="H605" s="38" t="str">
        <x:v>Tiny-task router, camera-hole shelf, creator storefront, reusable app shell.</x:v>
      </x:c>
    </x:row>
    <x:row r="606" ht="48" customHeight="1">
      <x:c r="A606" s="60" t="str">
        <x:v>DOS-032</x:v>
      </x:c>
      <x:c r="B606" s="37" t="str">
        <x:v>Microtool Studio &amp; Split-Screen Companions</x:v>
      </x:c>
      <x:c r="C606" s="37" t="str">
        <x:v>FAM-20</x:v>
      </x:c>
      <x:c r="D606" s="37" t="str">
        <x:v>Notifications, reminders &amp; deadlines</x:v>
      </x:c>
      <x:c r="E606" s="37" t="str">
        <x:v>Expansion</x:v>
      </x:c>
      <x:c r="F606" s="37" t="str">
        <x:v>Flexible / later only</x:v>
      </x:c>
      <x:c r="G606" s="37" t="str">
        <x:v>Microtool Studio &amp; Split-Screen Companions: Push/email/in-app reminders, scheduled tasks, and time-bound flows.</x:v>
      </x:c>
      <x:c r="H606" s="38" t="str">
        <x:v>Tiny-task router, camera-hole shelf, creator storefront, reusable app shell.</x:v>
      </x:c>
    </x:row>
    <x:row r="607" ht="48" customHeight="1">
      <x:c r="A607" s="60" t="str">
        <x:v>DOS-032</x:v>
      </x:c>
      <x:c r="B607" s="37" t="str">
        <x:v>Microtool Studio &amp; Split-Screen Companions</x:v>
      </x:c>
      <x:c r="C607" s="37" t="str">
        <x:v>FAM-31</x:v>
      </x:c>
      <x:c r="D607" s="37" t="str">
        <x:v>Teams, co-creation &amp; permissions</x:v>
      </x:c>
      <x:c r="E607" s="37" t="str">
        <x:v>Expansion</x:v>
      </x:c>
      <x:c r="F607" s="37" t="str">
        <x:v>Flexible / later only</x:v>
      </x:c>
      <x:c r="G607" s="37" t="str">
        <x:v>Microtool Studio &amp; Split-Screen Companions: Multi-person workspaces, collaboration, ownership boundaries, and team roles.</x:v>
      </x:c>
      <x:c r="H607" s="38" t="str">
        <x:v>Tiny-task router, camera-hole shelf, creator storefront, reusable app shell.</x:v>
      </x:c>
    </x:row>
    <x:row r="608" ht="48" customHeight="1">
      <x:c r="A608" s="60" t="str">
        <x:v>DOS-032</x:v>
      </x:c>
      <x:c r="B608" s="37" t="str">
        <x:v>Microtool Studio &amp; Split-Screen Companions</x:v>
      </x:c>
      <x:c r="C608" s="37" t="str">
        <x:v>FAM-37</x:v>
      </x:c>
      <x:c r="D608" s="37" t="str">
        <x:v>Gamification, challenges &amp; progression</x:v>
      </x:c>
      <x:c r="E608" s="37" t="str">
        <x:v>Expansion</x:v>
      </x:c>
      <x:c r="F608" s="37" t="str">
        <x:v>Flexible / later only</x:v>
      </x:c>
      <x:c r="G608" s="37" t="str">
        <x:v>Microtool Studio &amp; Split-Screen Companions: Challenges, points, levels, voting, collection, and progress systems.</x:v>
      </x:c>
      <x:c r="H608" s="38" t="str">
        <x:v>Tiny-task router, camera-hole shelf, creator storefront, reusable app shell.</x:v>
      </x:c>
    </x:row>
    <x:row r="609" ht="48" customHeight="1">
      <x:c r="A609" s="60" t="str">
        <x:v>DOS-033</x:v>
      </x:c>
      <x:c r="B609" s="37" t="str">
        <x:v>Smart Strap Kit &amp; Modular Backpack</x:v>
      </x:c>
      <x:c r="C609" s="37" t="str">
        <x:v>FAM-01</x:v>
      </x:c>
      <x:c r="D609" s="37" t="str">
        <x:v>Responsive web / PWA interface</x:v>
      </x:c>
      <x:c r="E609" s="37" t="str">
        <x:v>Must</x:v>
      </x:c>
      <x:c r="F609" s="37" t="str">
        <x:v>Strict-route gate</x:v>
      </x:c>
      <x:c r="G609" s="37" t="str">
        <x:v>Smart Strap Kit &amp; Modular Backpack: Mobile-first responsive screens and app-like web navigation.</x:v>
      </x:c>
      <x:c r="H609" s="38" t="str">
        <x:v>Product renders/spec, waitlist, feature voting, price test, supplier/prototype notes, product landing/commerce route.</x:v>
      </x:c>
    </x:row>
    <x:row r="610" ht="48" customHeight="1">
      <x:c r="A610" s="60" t="str">
        <x:v>DOS-033</x:v>
      </x:c>
      <x:c r="B610" s="37" t="str">
        <x:v>Smart Strap Kit &amp; Modular Backpack</x:v>
      </x:c>
      <x:c r="C610" s="37" t="str">
        <x:v>FAM-18</x:v>
      </x:c>
      <x:c r="D610" s="37" t="str">
        <x:v>Commerce, catalog &amp; fulfillment</x:v>
      </x:c>
      <x:c r="E610" s="37" t="str">
        <x:v>Must</x:v>
      </x:c>
      <x:c r="F610" s="37" t="str">
        <x:v>Strict-route gate</x:v>
      </x:c>
      <x:c r="G610" s="37" t="str">
        <x:v>Smart Strap Kit &amp; Modular Backpack: Product catalogs, ecommerce, orders, print-on-demand, and fulfillment integrations.</x:v>
      </x:c>
      <x:c r="H610" s="38" t="str">
        <x:v>Product renders/spec, waitlist, feature voting, price test, supplier/prototype notes, product landing/commerce route.</x:v>
      </x:c>
    </x:row>
    <x:row r="611" ht="48" customHeight="1">
      <x:c r="A611" s="60" t="str">
        <x:v>DOS-033</x:v>
      </x:c>
      <x:c r="B611" s="37" t="str">
        <x:v>Smart Strap Kit &amp; Modular Backpack</x:v>
      </x:c>
      <x:c r="C611" s="37" t="str">
        <x:v>FAM-23</x:v>
      </x:c>
      <x:c r="D611" s="37" t="str">
        <x:v>Public website, SEO &amp; domain control</x:v>
      </x:c>
      <x:c r="E611" s="37" t="str">
        <x:v>Must</x:v>
      </x:c>
      <x:c r="F611" s="37" t="str">
        <x:v>Strict-route gate</x:v>
      </x:c>
      <x:c r="G611" s="37" t="str">
        <x:v>Smart Strap Kit &amp; Modular Backpack: Public pages, discoverability, custom domain, shareability, and search metadata.</x:v>
      </x:c>
      <x:c r="H611" s="38" t="str">
        <x:v>Product renders/spec, waitlist, feature voting, price test, supplier/prototype notes, product landing/commerce route.</x:v>
      </x:c>
    </x:row>
    <x:row r="612" ht="48" customHeight="1">
      <x:c r="A612" s="60" t="str">
        <x:v>DOS-033</x:v>
      </x:c>
      <x:c r="B612" s="37" t="str">
        <x:v>Smart Strap Kit &amp; Modular Backpack</x:v>
      </x:c>
      <x:c r="C612" s="37" t="str">
        <x:v>FAM-34</x:v>
      </x:c>
      <x:c r="D612" s="37" t="str">
        <x:v>Lead capture, booking &amp; service commerce</x:v>
      </x:c>
      <x:c r="E612" s="37" t="str">
        <x:v>Must</x:v>
      </x:c>
      <x:c r="F612" s="37" t="str">
        <x:v>Strict-route gate</x:v>
      </x:c>
      <x:c r="G612" s="37" t="str">
        <x:v>Smart Strap Kit &amp; Modular Backpack: Inquiry forms, booking, sales funnels, quotes, and service-client handoff.</x:v>
      </x:c>
      <x:c r="H612" s="38" t="str">
        <x:v>Product renders/spec, waitlist, feature voting, price test, supplier/prototype notes, product landing/commerce route.</x:v>
      </x:c>
    </x:row>
    <x:row r="613" ht="48" customHeight="1">
      <x:c r="A613" s="60" t="str">
        <x:v>DOS-033</x:v>
      </x:c>
      <x:c r="B613" s="37" t="str">
        <x:v>Smart Strap Kit &amp; Modular Backpack</x:v>
      </x:c>
      <x:c r="C613" s="37" t="str">
        <x:v>FAM-39</x:v>
      </x:c>
      <x:c r="D613" s="37" t="str">
        <x:v>Physical-product companion &amp; validation</x:v>
      </x:c>
      <x:c r="E613" s="37" t="str">
        <x:v>Must</x:v>
      </x:c>
      <x:c r="F613" s="37" t="str">
        <x:v>Strict-route gate</x:v>
      </x:c>
      <x:c r="G613" s="37" t="str">
        <x:v>Smart Strap Kit &amp; Modular Backpack: Landing pages, waitlists, product configuration, hardware documentation, and physical-product data.</x:v>
      </x:c>
      <x:c r="H613" s="38" t="str">
        <x:v>Product renders/spec, waitlist, feature voting, price test, supplier/prototype notes, product landing/commerce route.</x:v>
      </x:c>
    </x:row>
    <x:row r="614" ht="48" customHeight="1">
      <x:c r="A614" s="60" t="str">
        <x:v>DOS-033</x:v>
      </x:c>
      <x:c r="B614" s="37" t="str">
        <x:v>Smart Strap Kit &amp; Modular Backpack</x:v>
      </x:c>
      <x:c r="C614" s="37" t="str">
        <x:v>FAM-40</x:v>
      </x:c>
      <x:c r="D614" s="37" t="str">
        <x:v>Research, validation &amp; launch experiment</x:v>
      </x:c>
      <x:c r="E614" s="37" t="str">
        <x:v>Must</x:v>
      </x:c>
      <x:c r="F614" s="37" t="str">
        <x:v>Strict-route gate</x:v>
      </x:c>
      <x:c r="G614" s="37" t="str">
        <x:v>Smart Strap Kit &amp; Modular Backpack: Landing tests, surveys, waitlists, hypotheses, experiments, and evidence capture.</x:v>
      </x:c>
      <x:c r="H614" s="38" t="str">
        <x:v>Product renders/spec, waitlist, feature voting, price test, supplier/prototype notes, product landing/commerce route.</x:v>
      </x:c>
    </x:row>
    <x:row r="615" ht="48" customHeight="1">
      <x:c r="A615" s="60" t="str">
        <x:v>DOS-033</x:v>
      </x:c>
      <x:c r="B615" s="37" t="str">
        <x:v>Smart Strap Kit &amp; Modular Backpack</x:v>
      </x:c>
      <x:c r="C615" s="37" t="str">
        <x:v>FAM-02</x:v>
      </x:c>
      <x:c r="D615" s="37" t="str">
        <x:v>Android/mobile builder workability</x:v>
      </x:c>
      <x:c r="E615" s="37" t="str">
        <x:v>Important</x:v>
      </x:c>
      <x:c r="F615" s="37" t="str">
        <x:v>Score after gates</x:v>
      </x:c>
      <x:c r="G615" s="37" t="str">
        <x:v>Smart Strap Kit &amp; Modular Backpack: Derek can build, edit, preview, test, and deploy with reasonable Android/mobile friction.</x:v>
      </x:c>
      <x:c r="H615" s="38" t="str">
        <x:v>Validate strap wedge and demand before manufacturing whole backpack ecosystem.</x:v>
      </x:c>
    </x:row>
    <x:row r="616" ht="48" customHeight="1">
      <x:c r="A616" s="60" t="str">
        <x:v>DOS-033</x:v>
      </x:c>
      <x:c r="B616" s="37" t="str">
        <x:v>Smart Strap Kit &amp; Modular Backpack</x:v>
      </x:c>
      <x:c r="C616" s="37" t="str">
        <x:v>FAM-17</x:v>
      </x:c>
      <x:c r="D616" s="37" t="str">
        <x:v>Payments, subscriptions &amp; billing</x:v>
      </x:c>
      <x:c r="E616" s="37" t="str">
        <x:v>Important</x:v>
      </x:c>
      <x:c r="F616" s="37" t="str">
        <x:v>Score after gates</x:v>
      </x:c>
      <x:c r="G616" s="37" t="str">
        <x:v>Smart Strap Kit &amp; Modular Backpack: Payments, subscriptions, checkout, entitlements, and billing-aware workflows.</x:v>
      </x:c>
      <x:c r="H616" s="38" t="str">
        <x:v>Validate strap wedge and demand before manufacturing whole backpack ecosystem.</x:v>
      </x:c>
    </x:row>
    <x:row r="617" ht="48" customHeight="1">
      <x:c r="A617" s="60" t="str">
        <x:v>DOS-033</x:v>
      </x:c>
      <x:c r="B617" s="37" t="str">
        <x:v>Smart Strap Kit &amp; Modular Backpack</x:v>
      </x:c>
      <x:c r="C617" s="37" t="str">
        <x:v>FAM-25</x:v>
      </x:c>
      <x:c r="D617" s="37" t="str">
        <x:v>Analytics, reporting &amp; decision dashboards</x:v>
      </x:c>
      <x:c r="E617" s="37" t="str">
        <x:v>Important</x:v>
      </x:c>
      <x:c r="F617" s="37" t="str">
        <x:v>Score after gates</x:v>
      </x:c>
      <x:c r="G617" s="37" t="str">
        <x:v>Smart Strap Kit &amp; Modular Backpack: Usage metrics, charts, rankings, reporting, and decision support.</x:v>
      </x:c>
      <x:c r="H617" s="38" t="str">
        <x:v>Validate strap wedge and demand before manufacturing whole backpack ecosystem.</x:v>
      </x:c>
    </x:row>
    <x:row r="618" ht="48" customHeight="1">
      <x:c r="A618" s="60" t="str">
        <x:v>DOS-033</x:v>
      </x:c>
      <x:c r="B618" s="37" t="str">
        <x:v>Smart Strap Kit &amp; Modular Backpack</x:v>
      </x:c>
      <x:c r="C618" s="37" t="str">
        <x:v>FAM-26</x:v>
      </x:c>
      <x:c r="D618" s="37" t="str">
        <x:v>Admin, CMS &amp; operational management</x:v>
      </x:c>
      <x:c r="E618" s="37" t="str">
        <x:v>Important</x:v>
      </x:c>
      <x:c r="F618" s="37" t="str">
        <x:v>Score after gates</x:v>
      </x:c>
      <x:c r="G618" s="37" t="str">
        <x:v>Smart Strap Kit &amp; Modular Backpack: Admin views, content management, operational review, and human overrides.</x:v>
      </x:c>
      <x:c r="H618" s="38" t="str">
        <x:v>Validate strap wedge and demand before manufacturing whole backpack ecosystem.</x:v>
      </x:c>
    </x:row>
    <x:row r="619" ht="48" customHeight="1">
      <x:c r="A619" s="60" t="str">
        <x:v>DOS-033</x:v>
      </x:c>
      <x:c r="B619" s="37" t="str">
        <x:v>Smart Strap Kit &amp; Modular Backpack</x:v>
      </x:c>
      <x:c r="C619" s="37" t="str">
        <x:v>FAM-27</x:v>
      </x:c>
      <x:c r="D619" s="37" t="str">
        <x:v>Portability, ownership &amp; escape path</x:v>
      </x:c>
      <x:c r="E619" s="37" t="str">
        <x:v>Important</x:v>
      </x:c>
      <x:c r="F619" s="37" t="str">
        <x:v>Score after gates</x:v>
      </x:c>
      <x:c r="G619" s="37" t="str">
        <x:v>Smart Strap Kit &amp; Modular Backpack: Code/data export, GitHub, custom domains, migration, and lock-in control.</x:v>
      </x:c>
      <x:c r="H619" s="38" t="str">
        <x:v>Validate strap wedge and demand before manufacturing whole backpack ecosystem.</x:v>
      </x:c>
    </x:row>
    <x:row r="620" ht="48" customHeight="1">
      <x:c r="A620" s="60" t="str">
        <x:v>DOS-033</x:v>
      </x:c>
      <x:c r="B620" s="37" t="str">
        <x:v>Smart Strap Kit &amp; Modular Backpack</x:v>
      </x:c>
      <x:c r="C620" s="37" t="str">
        <x:v>FAM-03</x:v>
      </x:c>
      <x:c r="D620" s="37" t="str">
        <x:v>Authentication, identity &amp; roles</x:v>
      </x:c>
      <x:c r="E620" s="37" t="str">
        <x:v>Expansion</x:v>
      </x:c>
      <x:c r="F620" s="37" t="str">
        <x:v>Flexible / later only</x:v>
      </x:c>
      <x:c r="G620" s="37" t="str">
        <x:v>Smart Strap Kit &amp; Modular Backpack: Sign-in, role-aware access, member identity, and permissions.</x:v>
      </x:c>
      <x:c r="H620" s="38" t="str">
        <x:v>Full backpack, modular bags, travel conversion, lighting, power, hydration, advanced systems.</x:v>
      </x:c>
    </x:row>
    <x:row r="621" ht="48" customHeight="1">
      <x:c r="A621" s="60" t="str">
        <x:v>DOS-033</x:v>
      </x:c>
      <x:c r="B621" s="37" t="str">
        <x:v>Smart Strap Kit &amp; Modular Backpack</x:v>
      </x:c>
      <x:c r="C621" s="37" t="str">
        <x:v>FAM-04</x:v>
      </x:c>
      <x:c r="D621" s="37" t="str">
        <x:v>Profiles, portfolios &amp; relationship records</x:v>
      </x:c>
      <x:c r="E621" s="37" t="str">
        <x:v>Expansion</x:v>
      </x:c>
      <x:c r="F621" s="37" t="str">
        <x:v>Flexible / later only</x:v>
      </x:c>
      <x:c r="G621" s="37" t="str">
        <x:v>Smart Strap Kit &amp; Modular Backpack: Persistent user/member/creator profiles and linked relationships.</x:v>
      </x:c>
      <x:c r="H621" s="38" t="str">
        <x:v>Full backpack, modular bags, travel conversion, lighting, power, hydration, advanced systems.</x:v>
      </x:c>
    </x:row>
    <x:row r="622" ht="48" customHeight="1">
      <x:c r="A622" s="60" t="str">
        <x:v>DOS-033</x:v>
      </x:c>
      <x:c r="B622" s="37" t="str">
        <x:v>Smart Strap Kit &amp; Modular Backpack</x:v>
      </x:c>
      <x:c r="C622" s="37" t="str">
        <x:v>FAM-07</x:v>
      </x:c>
      <x:c r="D622" s="37" t="str">
        <x:v>File intake, storage &amp; lifecycle</x:v>
      </x:c>
      <x:c r="E622" s="37" t="str">
        <x:v>Expansion</x:v>
      </x:c>
      <x:c r="F622" s="37" t="str">
        <x:v>Flexible / later only</x:v>
      </x:c>
      <x:c r="G622" s="37" t="str">
        <x:v>Smart Strap Kit &amp; Modular Backpack: Upload/import, validation, storage, retention, and file-size handling.</x:v>
      </x:c>
      <x:c r="H622" s="38" t="str">
        <x:v>Full backpack, modular bags, travel conversion, lighting, power, hydration, advanced systems.</x:v>
      </x:c>
    </x:row>
    <x:row r="623" ht="48" customHeight="1">
      <x:c r="A623" s="60" t="str">
        <x:v>DOS-033</x:v>
      </x:c>
      <x:c r="B623" s="37" t="str">
        <x:v>Smart Strap Kit &amp; Modular Backpack</x:v>
      </x:c>
      <x:c r="C623" s="37" t="str">
        <x:v>FAM-22</x:v>
      </x:c>
      <x:c r="D623" s="37" t="str">
        <x:v>APIs &amp; third-party integrations</x:v>
      </x:c>
      <x:c r="E623" s="37" t="str">
        <x:v>Expansion</x:v>
      </x:c>
      <x:c r="F623" s="37" t="str">
        <x:v>Flexible / later only</x:v>
      </x:c>
      <x:c r="G623" s="37" t="str">
        <x:v>Smart Strap Kit &amp; Modular Backpack: External services, social/export targets, payment providers, and service connectors.</x:v>
      </x:c>
      <x:c r="H623" s="38" t="str">
        <x:v>Full backpack, modular bags, travel conversion, lighting, power, hydration, advanced systems.</x:v>
      </x:c>
    </x:row>
    <x:row r="624" ht="48" customHeight="1">
      <x:c r="A624" s="60" t="str">
        <x:v>DOS-033</x:v>
      </x:c>
      <x:c r="B624" s="37" t="str">
        <x:v>Smart Strap Kit &amp; Modular Backpack</x:v>
      </x:c>
      <x:c r="C624" s="37" t="str">
        <x:v>FAM-32</x:v>
      </x:c>
      <x:c r="D624" s="37" t="str">
        <x:v>Marketplace, templates &amp; creator assets</x:v>
      </x:c>
      <x:c r="E624" s="37" t="str">
        <x:v>Expansion</x:v>
      </x:c>
      <x:c r="F624" s="37" t="str">
        <x:v>Flexible / later only</x:v>
      </x:c>
      <x:c r="G624" s="37" t="str">
        <x:v>Smart Strap Kit &amp; Modular Backpack: Listings, reusable assets, creator publishing, reviews, and marketplace rules.</x:v>
      </x:c>
      <x:c r="H624" s="38" t="str">
        <x:v>Full backpack, modular bags, travel conversion, lighting, power, hydration, advanced systems.</x:v>
      </x:c>
    </x:row>
    <x:row r="625" ht="48" customHeight="1">
      <x:c r="A625" s="60" t="str">
        <x:v>DOS-034</x:v>
      </x:c>
      <x:c r="B625" s="37" t="str">
        <x:v>Serenity Pits / Serenity Pods</x:v>
      </x:c>
      <x:c r="C625" s="37" t="str">
        <x:v>FAM-01</x:v>
      </x:c>
      <x:c r="D625" s="37" t="str">
        <x:v>Responsive web / PWA interface</x:v>
      </x:c>
      <x:c r="E625" s="37" t="str">
        <x:v>Must</x:v>
      </x:c>
      <x:c r="F625" s="37" t="str">
        <x:v>Strict-route gate</x:v>
      </x:c>
      <x:c r="G625" s="37" t="str">
        <x:v>Serenity Pits / Serenity Pods: Mobile-first responsive screens and app-like web navigation.</x:v>
      </x:c>
      <x:c r="H625" s="38" t="str">
        <x:v>Define one sellable starter kit, visual concept, pricing, installation/service model, landing and lead path.</x:v>
      </x:c>
    </x:row>
    <x:row r="626" ht="48" customHeight="1">
      <x:c r="A626" s="60" t="str">
        <x:v>DOS-034</x:v>
      </x:c>
      <x:c r="B626" s="37" t="str">
        <x:v>Serenity Pits / Serenity Pods</x:v>
      </x:c>
      <x:c r="C626" s="37" t="str">
        <x:v>FAM-18</x:v>
      </x:c>
      <x:c r="D626" s="37" t="str">
        <x:v>Commerce, catalog &amp; fulfillment</x:v>
      </x:c>
      <x:c r="E626" s="37" t="str">
        <x:v>Must</x:v>
      </x:c>
      <x:c r="F626" s="37" t="str">
        <x:v>Strict-route gate</x:v>
      </x:c>
      <x:c r="G626" s="37" t="str">
        <x:v>Serenity Pits / Serenity Pods: Product catalogs, ecommerce, orders, print-on-demand, and fulfillment integrations.</x:v>
      </x:c>
      <x:c r="H626" s="38" t="str">
        <x:v>Define one sellable starter kit, visual concept, pricing, installation/service model, landing and lead path.</x:v>
      </x:c>
    </x:row>
    <x:row r="627" ht="48" customHeight="1">
      <x:c r="A627" s="60" t="str">
        <x:v>DOS-034</x:v>
      </x:c>
      <x:c r="B627" s="37" t="str">
        <x:v>Serenity Pits / Serenity Pods</x:v>
      </x:c>
      <x:c r="C627" s="37" t="str">
        <x:v>FAM-23</x:v>
      </x:c>
      <x:c r="D627" s="37" t="str">
        <x:v>Public website, SEO &amp; domain control</x:v>
      </x:c>
      <x:c r="E627" s="37" t="str">
        <x:v>Must</x:v>
      </x:c>
      <x:c r="F627" s="37" t="str">
        <x:v>Strict-route gate</x:v>
      </x:c>
      <x:c r="G627" s="37" t="str">
        <x:v>Serenity Pits / Serenity Pods: Public pages, discoverability, custom domain, shareability, and search metadata.</x:v>
      </x:c>
      <x:c r="H627" s="38" t="str">
        <x:v>Define one sellable starter kit, visual concept, pricing, installation/service model, landing and lead path.</x:v>
      </x:c>
    </x:row>
    <x:row r="628" ht="48" customHeight="1">
      <x:c r="A628" s="60" t="str">
        <x:v>DOS-034</x:v>
      </x:c>
      <x:c r="B628" s="37" t="str">
        <x:v>Serenity Pits / Serenity Pods</x:v>
      </x:c>
      <x:c r="C628" s="37" t="str">
        <x:v>FAM-34</x:v>
      </x:c>
      <x:c r="D628" s="37" t="str">
        <x:v>Lead capture, booking &amp; service commerce</x:v>
      </x:c>
      <x:c r="E628" s="37" t="str">
        <x:v>Must</x:v>
      </x:c>
      <x:c r="F628" s="37" t="str">
        <x:v>Strict-route gate</x:v>
      </x:c>
      <x:c r="G628" s="37" t="str">
        <x:v>Serenity Pits / Serenity Pods: Inquiry forms, booking, sales funnels, quotes, and service-client handoff.</x:v>
      </x:c>
      <x:c r="H628" s="38" t="str">
        <x:v>Define one sellable starter kit, visual concept, pricing, installation/service model, landing and lead path.</x:v>
      </x:c>
    </x:row>
    <x:row r="629" ht="48" customHeight="1">
      <x:c r="A629" s="60" t="str">
        <x:v>DOS-034</x:v>
      </x:c>
      <x:c r="B629" s="37" t="str">
        <x:v>Serenity Pits / Serenity Pods</x:v>
      </x:c>
      <x:c r="C629" s="37" t="str">
        <x:v>FAM-39</x:v>
      </x:c>
      <x:c r="D629" s="37" t="str">
        <x:v>Physical-product companion &amp; validation</x:v>
      </x:c>
      <x:c r="E629" s="37" t="str">
        <x:v>Must</x:v>
      </x:c>
      <x:c r="F629" s="37" t="str">
        <x:v>Strict-route gate</x:v>
      </x:c>
      <x:c r="G629" s="37" t="str">
        <x:v>Serenity Pits / Serenity Pods: Landing pages, waitlists, product configuration, hardware documentation, and physical-product data.</x:v>
      </x:c>
      <x:c r="H629" s="38" t="str">
        <x:v>Define one sellable starter kit, visual concept, pricing, installation/service model, landing and lead path.</x:v>
      </x:c>
    </x:row>
    <x:row r="630" ht="48" customHeight="1">
      <x:c r="A630" s="60" t="str">
        <x:v>DOS-034</x:v>
      </x:c>
      <x:c r="B630" s="37" t="str">
        <x:v>Serenity Pits / Serenity Pods</x:v>
      </x:c>
      <x:c r="C630" s="37" t="str">
        <x:v>FAM-40</x:v>
      </x:c>
      <x:c r="D630" s="37" t="str">
        <x:v>Research, validation &amp; launch experiment</x:v>
      </x:c>
      <x:c r="E630" s="37" t="str">
        <x:v>Must</x:v>
      </x:c>
      <x:c r="F630" s="37" t="str">
        <x:v>Strict-route gate</x:v>
      </x:c>
      <x:c r="G630" s="37" t="str">
        <x:v>Serenity Pits / Serenity Pods: Landing tests, surveys, waitlists, hypotheses, experiments, and evidence capture.</x:v>
      </x:c>
      <x:c r="H630" s="38" t="str">
        <x:v>Define one sellable starter kit, visual concept, pricing, installation/service model, landing and lead path.</x:v>
      </x:c>
    </x:row>
    <x:row r="631" ht="48" customHeight="1">
      <x:c r="A631" s="60" t="str">
        <x:v>DOS-034</x:v>
      </x:c>
      <x:c r="B631" s="37" t="str">
        <x:v>Serenity Pits / Serenity Pods</x:v>
      </x:c>
      <x:c r="C631" s="37" t="str">
        <x:v>FAM-02</x:v>
      </x:c>
      <x:c r="D631" s="37" t="str">
        <x:v>Android/mobile builder workability</x:v>
      </x:c>
      <x:c r="E631" s="37" t="str">
        <x:v>Important</x:v>
      </x:c>
      <x:c r="F631" s="37" t="str">
        <x:v>Score after gates</x:v>
      </x:c>
      <x:c r="G631" s="37" t="str">
        <x:v>Serenity Pits / Serenity Pods: Derek can build, edit, preview, test, and deploy with reasonable Android/mobile friction.</x:v>
      </x:c>
      <x:c r="H631" s="38" t="str">
        <x:v>Validate interest and configuration packages before interactive app control.</x:v>
      </x:c>
    </x:row>
    <x:row r="632" ht="48" customHeight="1">
      <x:c r="A632" s="60" t="str">
        <x:v>DOS-034</x:v>
      </x:c>
      <x:c r="B632" s="37" t="str">
        <x:v>Serenity Pits / Serenity Pods</x:v>
      </x:c>
      <x:c r="C632" s="37" t="str">
        <x:v>FAM-17</x:v>
      </x:c>
      <x:c r="D632" s="37" t="str">
        <x:v>Payments, subscriptions &amp; billing</x:v>
      </x:c>
      <x:c r="E632" s="37" t="str">
        <x:v>Important</x:v>
      </x:c>
      <x:c r="F632" s="37" t="str">
        <x:v>Score after gates</x:v>
      </x:c>
      <x:c r="G632" s="37" t="str">
        <x:v>Serenity Pits / Serenity Pods: Payments, subscriptions, checkout, entitlements, and billing-aware workflows.</x:v>
      </x:c>
      <x:c r="H632" s="38" t="str">
        <x:v>Validate interest and configuration packages before interactive app control.</x:v>
      </x:c>
    </x:row>
    <x:row r="633" ht="48" customHeight="1">
      <x:c r="A633" s="60" t="str">
        <x:v>DOS-034</x:v>
      </x:c>
      <x:c r="B633" s="37" t="str">
        <x:v>Serenity Pits / Serenity Pods</x:v>
      </x:c>
      <x:c r="C633" s="37" t="str">
        <x:v>FAM-25</x:v>
      </x:c>
      <x:c r="D633" s="37" t="str">
        <x:v>Analytics, reporting &amp; decision dashboards</x:v>
      </x:c>
      <x:c r="E633" s="37" t="str">
        <x:v>Important</x:v>
      </x:c>
      <x:c r="F633" s="37" t="str">
        <x:v>Score after gates</x:v>
      </x:c>
      <x:c r="G633" s="37" t="str">
        <x:v>Serenity Pits / Serenity Pods: Usage metrics, charts, rankings, reporting, and decision support.</x:v>
      </x:c>
      <x:c r="H633" s="38" t="str">
        <x:v>Validate interest and configuration packages before interactive app control.</x:v>
      </x:c>
    </x:row>
    <x:row r="634" ht="48" customHeight="1">
      <x:c r="A634" s="60" t="str">
        <x:v>DOS-034</x:v>
      </x:c>
      <x:c r="B634" s="37" t="str">
        <x:v>Serenity Pits / Serenity Pods</x:v>
      </x:c>
      <x:c r="C634" s="37" t="str">
        <x:v>FAM-26</x:v>
      </x:c>
      <x:c r="D634" s="37" t="str">
        <x:v>Admin, CMS &amp; operational management</x:v>
      </x:c>
      <x:c r="E634" s="37" t="str">
        <x:v>Important</x:v>
      </x:c>
      <x:c r="F634" s="37" t="str">
        <x:v>Score after gates</x:v>
      </x:c>
      <x:c r="G634" s="37" t="str">
        <x:v>Serenity Pits / Serenity Pods: Admin views, content management, operational review, and human overrides.</x:v>
      </x:c>
      <x:c r="H634" s="38" t="str">
        <x:v>Validate interest and configuration packages before interactive app control.</x:v>
      </x:c>
    </x:row>
    <x:row r="635" ht="48" customHeight="1">
      <x:c r="A635" s="60" t="str">
        <x:v>DOS-034</x:v>
      </x:c>
      <x:c r="B635" s="37" t="str">
        <x:v>Serenity Pits / Serenity Pods</x:v>
      </x:c>
      <x:c r="C635" s="37" t="str">
        <x:v>FAM-27</x:v>
      </x:c>
      <x:c r="D635" s="37" t="str">
        <x:v>Portability, ownership &amp; escape path</x:v>
      </x:c>
      <x:c r="E635" s="37" t="str">
        <x:v>Important</x:v>
      </x:c>
      <x:c r="F635" s="37" t="str">
        <x:v>Score after gates</x:v>
      </x:c>
      <x:c r="G635" s="37" t="str">
        <x:v>Serenity Pits / Serenity Pods: Code/data export, GitHub, custom domains, migration, and lock-in control.</x:v>
      </x:c>
      <x:c r="H635" s="38" t="str">
        <x:v>Validate interest and configuration packages before interactive app control.</x:v>
      </x:c>
    </x:row>
    <x:row r="636" ht="48" customHeight="1">
      <x:c r="A636" s="60" t="str">
        <x:v>DOS-034</x:v>
      </x:c>
      <x:c r="B636" s="37" t="str">
        <x:v>Serenity Pits / Serenity Pods</x:v>
      </x:c>
      <x:c r="C636" s="37" t="str">
        <x:v>FAM-03</x:v>
      </x:c>
      <x:c r="D636" s="37" t="str">
        <x:v>Authentication, identity &amp; roles</x:v>
      </x:c>
      <x:c r="E636" s="37" t="str">
        <x:v>Expansion</x:v>
      </x:c>
      <x:c r="F636" s="37" t="str">
        <x:v>Flexible / later only</x:v>
      </x:c>
      <x:c r="G636" s="37" t="str">
        <x:v>Serenity Pits / Serenity Pods: Sign-in, role-aware access, member identity, and permissions.</x:v>
      </x:c>
      <x:c r="H636" s="38" t="str">
        <x:v>Smart ambiance controls, portable pods, premium systems.</x:v>
      </x:c>
    </x:row>
    <x:row r="637" ht="48" customHeight="1">
      <x:c r="A637" s="60" t="str">
        <x:v>DOS-034</x:v>
      </x:c>
      <x:c r="B637" s="37" t="str">
        <x:v>Serenity Pits / Serenity Pods</x:v>
      </x:c>
      <x:c r="C637" s="37" t="str">
        <x:v>FAM-04</x:v>
      </x:c>
      <x:c r="D637" s="37" t="str">
        <x:v>Profiles, portfolios &amp; relationship records</x:v>
      </x:c>
      <x:c r="E637" s="37" t="str">
        <x:v>Expansion</x:v>
      </x:c>
      <x:c r="F637" s="37" t="str">
        <x:v>Flexible / later only</x:v>
      </x:c>
      <x:c r="G637" s="37" t="str">
        <x:v>Serenity Pits / Serenity Pods: Persistent user/member/creator profiles and linked relationships.</x:v>
      </x:c>
      <x:c r="H637" s="38" t="str">
        <x:v>Smart ambiance controls, portable pods, premium systems.</x:v>
      </x:c>
    </x:row>
    <x:row r="638" ht="48" customHeight="1">
      <x:c r="A638" s="60" t="str">
        <x:v>DOS-034</x:v>
      </x:c>
      <x:c r="B638" s="37" t="str">
        <x:v>Serenity Pits / Serenity Pods</x:v>
      </x:c>
      <x:c r="C638" s="37" t="str">
        <x:v>FAM-07</x:v>
      </x:c>
      <x:c r="D638" s="37" t="str">
        <x:v>File intake, storage &amp; lifecycle</x:v>
      </x:c>
      <x:c r="E638" s="37" t="str">
        <x:v>Expansion</x:v>
      </x:c>
      <x:c r="F638" s="37" t="str">
        <x:v>Flexible / later only</x:v>
      </x:c>
      <x:c r="G638" s="37" t="str">
        <x:v>Serenity Pits / Serenity Pods: Upload/import, validation, storage, retention, and file-size handling.</x:v>
      </x:c>
      <x:c r="H638" s="38" t="str">
        <x:v>Smart ambiance controls, portable pods, premium systems.</x:v>
      </x:c>
    </x:row>
    <x:row r="639" ht="48" customHeight="1">
      <x:c r="A639" s="60" t="str">
        <x:v>DOS-034</x:v>
      </x:c>
      <x:c r="B639" s="37" t="str">
        <x:v>Serenity Pits / Serenity Pods</x:v>
      </x:c>
      <x:c r="C639" s="37" t="str">
        <x:v>FAM-22</x:v>
      </x:c>
      <x:c r="D639" s="37" t="str">
        <x:v>APIs &amp; third-party integrations</x:v>
      </x:c>
      <x:c r="E639" s="37" t="str">
        <x:v>Expansion</x:v>
      </x:c>
      <x:c r="F639" s="37" t="str">
        <x:v>Flexible / later only</x:v>
      </x:c>
      <x:c r="G639" s="37" t="str">
        <x:v>Serenity Pits / Serenity Pods: External services, social/export targets, payment providers, and service connectors.</x:v>
      </x:c>
      <x:c r="H639" s="38" t="str">
        <x:v>Smart ambiance controls, portable pods, premium systems.</x:v>
      </x:c>
    </x:row>
    <x:row r="640" ht="48" customHeight="1">
      <x:c r="A640" s="60" t="str">
        <x:v>DOS-034</x:v>
      </x:c>
      <x:c r="B640" s="37" t="str">
        <x:v>Serenity Pits / Serenity Pods</x:v>
      </x:c>
      <x:c r="C640" s="37" t="str">
        <x:v>FAM-32</x:v>
      </x:c>
      <x:c r="D640" s="37" t="str">
        <x:v>Marketplace, templates &amp; creator assets</x:v>
      </x:c>
      <x:c r="E640" s="37" t="str">
        <x:v>Expansion</x:v>
      </x:c>
      <x:c r="F640" s="37" t="str">
        <x:v>Flexible / later only</x:v>
      </x:c>
      <x:c r="G640" s="37" t="str">
        <x:v>Serenity Pits / Serenity Pods: Listings, reusable assets, creator publishing, reviews, and marketplace rules.</x:v>
      </x:c>
      <x:c r="H640" s="38" t="str">
        <x:v>Smart ambiance controls, portable pods, premium systems.</x:v>
      </x:c>
    </x:row>
    <x:row r="641" ht="48" customHeight="1">
      <x:c r="A641" s="60" t="str">
        <x:v>DOS-035</x:v>
      </x:c>
      <x:c r="B641" s="37" t="str">
        <x:v>AmazeBallsDeep</x:v>
      </x:c>
      <x:c r="C641" s="37" t="str">
        <x:v>FAM-01</x:v>
      </x:c>
      <x:c r="D641" s="37" t="str">
        <x:v>Responsive web / PWA interface</x:v>
      </x:c>
      <x:c r="E641" s="37" t="str">
        <x:v>Must</x:v>
      </x:c>
      <x:c r="F641" s="37" t="str">
        <x:v>Strict-route gate</x:v>
      </x:c>
      <x:c r="G641" s="37" t="str">
        <x:v>AmazeBallsDeep: Mobile-first responsive screens and app-like web navigation.</x:v>
      </x:c>
      <x:c r="H641" s="38" t="str">
        <x:v>Brand guardrails, initial products, storefront, print fulfillment, checkout, campaign/analytics.</x:v>
      </x:c>
    </x:row>
    <x:row r="642" ht="48" customHeight="1">
      <x:c r="A642" s="60" t="str">
        <x:v>DOS-035</x:v>
      </x:c>
      <x:c r="B642" s="37" t="str">
        <x:v>AmazeBallsDeep</x:v>
      </x:c>
      <x:c r="C642" s="37" t="str">
        <x:v>FAM-17</x:v>
      </x:c>
      <x:c r="D642" s="37" t="str">
        <x:v>Payments, subscriptions &amp; billing</x:v>
      </x:c>
      <x:c r="E642" s="37" t="str">
        <x:v>Must</x:v>
      </x:c>
      <x:c r="F642" s="37" t="str">
        <x:v>Strict-route gate</x:v>
      </x:c>
      <x:c r="G642" s="37" t="str">
        <x:v>AmazeBallsDeep: Payments, subscriptions, checkout, entitlements, and billing-aware workflows.</x:v>
      </x:c>
      <x:c r="H642" s="38" t="str">
        <x:v>Brand guardrails, initial products, storefront, print fulfillment, checkout, campaign/analytics.</x:v>
      </x:c>
    </x:row>
    <x:row r="643" ht="48" customHeight="1">
      <x:c r="A643" s="60" t="str">
        <x:v>DOS-035</x:v>
      </x:c>
      <x:c r="B643" s="37" t="str">
        <x:v>AmazeBallsDeep</x:v>
      </x:c>
      <x:c r="C643" s="37" t="str">
        <x:v>FAM-18</x:v>
      </x:c>
      <x:c r="D643" s="37" t="str">
        <x:v>Commerce, catalog &amp; fulfillment</x:v>
      </x:c>
      <x:c r="E643" s="37" t="str">
        <x:v>Must</x:v>
      </x:c>
      <x:c r="F643" s="37" t="str">
        <x:v>Strict-route gate</x:v>
      </x:c>
      <x:c r="G643" s="37" t="str">
        <x:v>AmazeBallsDeep: Product catalogs, ecommerce, orders, print-on-demand, and fulfillment integrations.</x:v>
      </x:c>
      <x:c r="H643" s="38" t="str">
        <x:v>Brand guardrails, initial products, storefront, print fulfillment, checkout, campaign/analytics.</x:v>
      </x:c>
    </x:row>
    <x:row r="644" ht="48" customHeight="1">
      <x:c r="A644" s="60" t="str">
        <x:v>DOS-035</x:v>
      </x:c>
      <x:c r="B644" s="37" t="str">
        <x:v>AmazeBallsDeep</x:v>
      </x:c>
      <x:c r="C644" s="37" t="str">
        <x:v>FAM-23</x:v>
      </x:c>
      <x:c r="D644" s="37" t="str">
        <x:v>Public website, SEO &amp; domain control</x:v>
      </x:c>
      <x:c r="E644" s="37" t="str">
        <x:v>Must</x:v>
      </x:c>
      <x:c r="F644" s="37" t="str">
        <x:v>Strict-route gate</x:v>
      </x:c>
      <x:c r="G644" s="37" t="str">
        <x:v>AmazeBallsDeep: Public pages, discoverability, custom domain, shareability, and search metadata.</x:v>
      </x:c>
      <x:c r="H644" s="38" t="str">
        <x:v>Brand guardrails, initial products, storefront, print fulfillment, checkout, campaign/analytics.</x:v>
      </x:c>
    </x:row>
    <x:row r="645" ht="48" customHeight="1">
      <x:c r="A645" s="60" t="str">
        <x:v>DOS-035</x:v>
      </x:c>
      <x:c r="B645" s="37" t="str">
        <x:v>AmazeBallsDeep</x:v>
      </x:c>
      <x:c r="C645" s="37" t="str">
        <x:v>FAM-26</x:v>
      </x:c>
      <x:c r="D645" s="37" t="str">
        <x:v>Admin, CMS &amp; operational management</x:v>
      </x:c>
      <x:c r="E645" s="37" t="str">
        <x:v>Must</x:v>
      </x:c>
      <x:c r="F645" s="37" t="str">
        <x:v>Strict-route gate</x:v>
      </x:c>
      <x:c r="G645" s="37" t="str">
        <x:v>AmazeBallsDeep: Admin views, content management, operational review, and human overrides.</x:v>
      </x:c>
      <x:c r="H645" s="38" t="str">
        <x:v>Brand guardrails, initial products, storefront, print fulfillment, checkout, campaign/analytics.</x:v>
      </x:c>
    </x:row>
    <x:row r="646" ht="48" customHeight="1">
      <x:c r="A646" s="60" t="str">
        <x:v>DOS-035</x:v>
      </x:c>
      <x:c r="B646" s="37" t="str">
        <x:v>AmazeBallsDeep</x:v>
      </x:c>
      <x:c r="C646" s="37" t="str">
        <x:v>FAM-27</x:v>
      </x:c>
      <x:c r="D646" s="37" t="str">
        <x:v>Portability, ownership &amp; escape path</x:v>
      </x:c>
      <x:c r="E646" s="37" t="str">
        <x:v>Must</x:v>
      </x:c>
      <x:c r="F646" s="37" t="str">
        <x:v>Strict-route gate</x:v>
      </x:c>
      <x:c r="G646" s="37" t="str">
        <x:v>AmazeBallsDeep: Code/data export, GitHub, custom domains, migration, and lock-in control.</x:v>
      </x:c>
      <x:c r="H646" s="38" t="str">
        <x:v>Brand guardrails, initial products, storefront, print fulfillment, checkout, campaign/analytics.</x:v>
      </x:c>
    </x:row>
    <x:row r="647" ht="48" customHeight="1">
      <x:c r="A647" s="60" t="str">
        <x:v>DOS-035</x:v>
      </x:c>
      <x:c r="B647" s="37" t="str">
        <x:v>AmazeBallsDeep</x:v>
      </x:c>
      <x:c r="C647" s="37" t="str">
        <x:v>FAM-40</x:v>
      </x:c>
      <x:c r="D647" s="37" t="str">
        <x:v>Research, validation &amp; launch experiment</x:v>
      </x:c>
      <x:c r="E647" s="37" t="str">
        <x:v>Must</x:v>
      </x:c>
      <x:c r="F647" s="37" t="str">
        <x:v>Strict-route gate</x:v>
      </x:c>
      <x:c r="G647" s="37" t="str">
        <x:v>AmazeBallsDeep: Landing tests, surveys, waitlists, hypotheses, experiments, and evidence capture.</x:v>
      </x:c>
      <x:c r="H647" s="38" t="str">
        <x:v>Brand guardrails, initial products, storefront, print fulfillment, checkout, campaign/analytics.</x:v>
      </x:c>
    </x:row>
    <x:row r="648" ht="48" customHeight="1">
      <x:c r="A648" s="60" t="str">
        <x:v>DOS-035</x:v>
      </x:c>
      <x:c r="B648" s="37" t="str">
        <x:v>AmazeBallsDeep</x:v>
      </x:c>
      <x:c r="C648" s="37" t="str">
        <x:v>FAM-02</x:v>
      </x:c>
      <x:c r="D648" s="37" t="str">
        <x:v>Android/mobile builder workability</x:v>
      </x:c>
      <x:c r="E648" s="37" t="str">
        <x:v>Important</x:v>
      </x:c>
      <x:c r="F648" s="37" t="str">
        <x:v>Score after gates</x:v>
      </x:c>
      <x:c r="G648" s="37" t="str">
        <x:v>AmazeBallsDeep: Derek can build, edit, preview, test, and deploy with reasonable Android/mobile friction.</x:v>
      </x:c>
      <x:c r="H648" s="38" t="str">
        <x:v>Start with a small product line and fulfillment partner; defer large custom ecommerce stack.</x:v>
      </x:c>
    </x:row>
    <x:row r="649" ht="48" customHeight="1">
      <x:c r="A649" s="60" t="str">
        <x:v>DOS-035</x:v>
      </x:c>
      <x:c r="B649" s="37" t="str">
        <x:v>AmazeBallsDeep</x:v>
      </x:c>
      <x:c r="C649" s="37" t="str">
        <x:v>FAM-07</x:v>
      </x:c>
      <x:c r="D649" s="37" t="str">
        <x:v>File intake, storage &amp; lifecycle</x:v>
      </x:c>
      <x:c r="E649" s="37" t="str">
        <x:v>Important</x:v>
      </x:c>
      <x:c r="F649" s="37" t="str">
        <x:v>Score after gates</x:v>
      </x:c>
      <x:c r="G649" s="37" t="str">
        <x:v>AmazeBallsDeep: Upload/import, validation, storage, retention, and file-size handling.</x:v>
      </x:c>
      <x:c r="H649" s="38" t="str">
        <x:v>Start with a small product line and fulfillment partner; defer large custom ecommerce stack.</x:v>
      </x:c>
    </x:row>
    <x:row r="650" ht="48" customHeight="1">
      <x:c r="A650" s="60" t="str">
        <x:v>DOS-035</x:v>
      </x:c>
      <x:c r="B650" s="37" t="str">
        <x:v>AmazeBallsDeep</x:v>
      </x:c>
      <x:c r="C650" s="37" t="str">
        <x:v>FAM-22</x:v>
      </x:c>
      <x:c r="D650" s="37" t="str">
        <x:v>APIs &amp; third-party integrations</x:v>
      </x:c>
      <x:c r="E650" s="37" t="str">
        <x:v>Important</x:v>
      </x:c>
      <x:c r="F650" s="37" t="str">
        <x:v>Score after gates</x:v>
      </x:c>
      <x:c r="G650" s="37" t="str">
        <x:v>AmazeBallsDeep: External services, social/export targets, payment providers, and service connectors.</x:v>
      </x:c>
      <x:c r="H650" s="38" t="str">
        <x:v>Start with a small product line and fulfillment partner; defer large custom ecommerce stack.</x:v>
      </x:c>
    </x:row>
    <x:row r="651" ht="48" customHeight="1">
      <x:c r="A651" s="60" t="str">
        <x:v>DOS-035</x:v>
      </x:c>
      <x:c r="B651" s="37" t="str">
        <x:v>AmazeBallsDeep</x:v>
      </x:c>
      <x:c r="C651" s="37" t="str">
        <x:v>FAM-24</x:v>
      </x:c>
      <x:c r="D651" s="37" t="str">
        <x:v>Export, publishing &amp; share routes</x:v>
      </x:c>
      <x:c r="E651" s="37" t="str">
        <x:v>Important</x:v>
      </x:c>
      <x:c r="F651" s="37" t="str">
        <x:v>Score after gates</x:v>
      </x:c>
      <x:c r="G651" s="37" t="str">
        <x:v>AmazeBallsDeep: Download/export, social publishing, share links, and portable output packages.</x:v>
      </x:c>
      <x:c r="H651" s="38" t="str">
        <x:v>Start with a small product line and fulfillment partner; defer large custom ecommerce stack.</x:v>
      </x:c>
    </x:row>
    <x:row r="652" ht="48" customHeight="1">
      <x:c r="A652" s="60" t="str">
        <x:v>DOS-035</x:v>
      </x:c>
      <x:c r="B652" s="37" t="str">
        <x:v>AmazeBallsDeep</x:v>
      </x:c>
      <x:c r="C652" s="37" t="str">
        <x:v>FAM-25</x:v>
      </x:c>
      <x:c r="D652" s="37" t="str">
        <x:v>Analytics, reporting &amp; decision dashboards</x:v>
      </x:c>
      <x:c r="E652" s="37" t="str">
        <x:v>Important</x:v>
      </x:c>
      <x:c r="F652" s="37" t="str">
        <x:v>Score after gates</x:v>
      </x:c>
      <x:c r="G652" s="37" t="str">
        <x:v>AmazeBallsDeep: Usage metrics, charts, rankings, reporting, and decision support.</x:v>
      </x:c>
      <x:c r="H652" s="38" t="str">
        <x:v>Start with a small product line and fulfillment partner; defer large custom ecommerce stack.</x:v>
      </x:c>
    </x:row>
    <x:row r="653" ht="48" customHeight="1">
      <x:c r="A653" s="60" t="str">
        <x:v>DOS-035</x:v>
      </x:c>
      <x:c r="B653" s="37" t="str">
        <x:v>AmazeBallsDeep</x:v>
      </x:c>
      <x:c r="C653" s="37" t="str">
        <x:v>FAM-34</x:v>
      </x:c>
      <x:c r="D653" s="37" t="str">
        <x:v>Lead capture, booking &amp; service commerce</x:v>
      </x:c>
      <x:c r="E653" s="37" t="str">
        <x:v>Important</x:v>
      </x:c>
      <x:c r="F653" s="37" t="str">
        <x:v>Score after gates</x:v>
      </x:c>
      <x:c r="G653" s="37" t="str">
        <x:v>AmazeBallsDeep: Inquiry forms, booking, sales funnels, quotes, and service-client handoff.</x:v>
      </x:c>
      <x:c r="H653" s="38" t="str">
        <x:v>Start with a small product line and fulfillment partner; defer large custom ecommerce stack.</x:v>
      </x:c>
    </x:row>
    <x:row r="654" ht="48" customHeight="1">
      <x:c r="A654" s="60" t="str">
        <x:v>DOS-035</x:v>
      </x:c>
      <x:c r="B654" s="37" t="str">
        <x:v>AmazeBallsDeep</x:v>
      </x:c>
      <x:c r="C654" s="37" t="str">
        <x:v>FAM-39</x:v>
      </x:c>
      <x:c r="D654" s="37" t="str">
        <x:v>Physical-product companion &amp; validation</x:v>
      </x:c>
      <x:c r="E654" s="37" t="str">
        <x:v>Important</x:v>
      </x:c>
      <x:c r="F654" s="37" t="str">
        <x:v>Score after gates</x:v>
      </x:c>
      <x:c r="G654" s="37" t="str">
        <x:v>AmazeBallsDeep: Landing pages, waitlists, product configuration, hardware documentation, and physical-product data.</x:v>
      </x:c>
      <x:c r="H654" s="38" t="str">
        <x:v>Start with a small product line and fulfillment partner; defer large custom ecommerce stack.</x:v>
      </x:c>
    </x:row>
    <x:row r="655" ht="48" customHeight="1">
      <x:c r="A655" s="60" t="str">
        <x:v>DOS-035</x:v>
      </x:c>
      <x:c r="B655" s="37" t="str">
        <x:v>AmazeBallsDeep</x:v>
      </x:c>
      <x:c r="C655" s="37" t="str">
        <x:v>FAM-03</x:v>
      </x:c>
      <x:c r="D655" s="37" t="str">
        <x:v>Authentication, identity &amp; roles</x:v>
      </x:c>
      <x:c r="E655" s="37" t="str">
        <x:v>Expansion</x:v>
      </x:c>
      <x:c r="F655" s="37" t="str">
        <x:v>Flexible / later only</x:v>
      </x:c>
      <x:c r="G655" s="37" t="str">
        <x:v>AmazeBallsDeep: Sign-in, role-aware access, member identity, and permissions.</x:v>
      </x:c>
      <x:c r="H655" s="38" t="str">
        <x:v>Content engine, affiliate/creator collaborations, wider merch universe.</x:v>
      </x:c>
    </x:row>
    <x:row r="656" ht="48" customHeight="1">
      <x:c r="A656" s="60" t="str">
        <x:v>DOS-035</x:v>
      </x:c>
      <x:c r="B656" s="37" t="str">
        <x:v>AmazeBallsDeep</x:v>
      </x:c>
      <x:c r="C656" s="37" t="str">
        <x:v>FAM-04</x:v>
      </x:c>
      <x:c r="D656" s="37" t="str">
        <x:v>Profiles, portfolios &amp; relationship records</x:v>
      </x:c>
      <x:c r="E656" s="37" t="str">
        <x:v>Expansion</x:v>
      </x:c>
      <x:c r="F656" s="37" t="str">
        <x:v>Flexible / later only</x:v>
      </x:c>
      <x:c r="G656" s="37" t="str">
        <x:v>AmazeBallsDeep: Persistent user/member/creator profiles and linked relationships.</x:v>
      </x:c>
      <x:c r="H656" s="38" t="str">
        <x:v>Content engine, affiliate/creator collaborations, wider merch universe.</x:v>
      </x:c>
    </x:row>
    <x:row r="657" ht="48" customHeight="1">
      <x:c r="A657" s="60" t="str">
        <x:v>DOS-035</x:v>
      </x:c>
      <x:c r="B657" s="37" t="str">
        <x:v>AmazeBallsDeep</x:v>
      </x:c>
      <x:c r="C657" s="37" t="str">
        <x:v>FAM-19</x:v>
      </x:c>
      <x:c r="D657" s="37" t="str">
        <x:v>Rewards, badges &amp; entitlements</x:v>
      </x:c>
      <x:c r="E657" s="37" t="str">
        <x:v>Expansion</x:v>
      </x:c>
      <x:c r="F657" s="37" t="str">
        <x:v>Flexible / later only</x:v>
      </x:c>
      <x:c r="G657" s="37" t="str">
        <x:v>AmazeBallsDeep: Loyalty, roles, rewards, badges, credits, and access logic.</x:v>
      </x:c>
      <x:c r="H657" s="38" t="str">
        <x:v>Content engine, affiliate/creator collaborations, wider merch universe.</x:v>
      </x:c>
    </x:row>
    <x:row r="658" ht="48" customHeight="1">
      <x:c r="A658" s="60" t="str">
        <x:v>DOS-035</x:v>
      </x:c>
      <x:c r="B658" s="37" t="str">
        <x:v>AmazeBallsDeep</x:v>
      </x:c>
      <x:c r="C658" s="37" t="str">
        <x:v>FAM-32</x:v>
      </x:c>
      <x:c r="D658" s="37" t="str">
        <x:v>Marketplace, templates &amp; creator assets</x:v>
      </x:c>
      <x:c r="E658" s="37" t="str">
        <x:v>Expansion</x:v>
      </x:c>
      <x:c r="F658" s="37" t="str">
        <x:v>Flexible / later only</x:v>
      </x:c>
      <x:c r="G658" s="37" t="str">
        <x:v>AmazeBallsDeep: Listings, reusable assets, creator publishing, reviews, and marketplace rules.</x:v>
      </x:c>
      <x:c r="H658" s="38" t="str">
        <x:v>Content engine, affiliate/creator collaborations, wider merch universe.</x:v>
      </x:c>
    </x:row>
    <x:row r="659" ht="48" customHeight="1">
      <x:c r="A659" s="60" t="str">
        <x:v>DOS-036</x:v>
      </x:c>
      <x:c r="B659" s="37" t="str">
        <x:v>Doggy Styles</x:v>
      </x:c>
      <x:c r="C659" s="37" t="str">
        <x:v>FAM-01</x:v>
      </x:c>
      <x:c r="D659" s="37" t="str">
        <x:v>Responsive web / PWA interface</x:v>
      </x:c>
      <x:c r="E659" s="37" t="str">
        <x:v>Must</x:v>
      </x:c>
      <x:c r="F659" s="37" t="str">
        <x:v>Strict-route gate</x:v>
      </x:c>
      <x:c r="G659" s="37" t="str">
        <x:v>Doggy Styles: Mobile-first responsive screens and app-like web navigation.</x:v>
      </x:c>
      <x:c r="H659" s="38" t="str">
        <x:v>Catalog, brand identity, Printful/fulfillment route, store pages, checkout, first campaign.</x:v>
      </x:c>
    </x:row>
    <x:row r="660" ht="48" customHeight="1">
      <x:c r="A660" s="60" t="str">
        <x:v>DOS-036</x:v>
      </x:c>
      <x:c r="B660" s="37" t="str">
        <x:v>Doggy Styles</x:v>
      </x:c>
      <x:c r="C660" s="37" t="str">
        <x:v>FAM-17</x:v>
      </x:c>
      <x:c r="D660" s="37" t="str">
        <x:v>Payments, subscriptions &amp; billing</x:v>
      </x:c>
      <x:c r="E660" s="37" t="str">
        <x:v>Must</x:v>
      </x:c>
      <x:c r="F660" s="37" t="str">
        <x:v>Strict-route gate</x:v>
      </x:c>
      <x:c r="G660" s="37" t="str">
        <x:v>Doggy Styles: Payments, subscriptions, checkout, entitlements, and billing-aware workflows.</x:v>
      </x:c>
      <x:c r="H660" s="38" t="str">
        <x:v>Catalog, brand identity, Printful/fulfillment route, store pages, checkout, first campaign.</x:v>
      </x:c>
    </x:row>
    <x:row r="661" ht="48" customHeight="1">
      <x:c r="A661" s="60" t="str">
        <x:v>DOS-036</x:v>
      </x:c>
      <x:c r="B661" s="37" t="str">
        <x:v>Doggy Styles</x:v>
      </x:c>
      <x:c r="C661" s="37" t="str">
        <x:v>FAM-18</x:v>
      </x:c>
      <x:c r="D661" s="37" t="str">
        <x:v>Commerce, catalog &amp; fulfillment</x:v>
      </x:c>
      <x:c r="E661" s="37" t="str">
        <x:v>Must</x:v>
      </x:c>
      <x:c r="F661" s="37" t="str">
        <x:v>Strict-route gate</x:v>
      </x:c>
      <x:c r="G661" s="37" t="str">
        <x:v>Doggy Styles: Product catalogs, ecommerce, orders, print-on-demand, and fulfillment integrations.</x:v>
      </x:c>
      <x:c r="H661" s="38" t="str">
        <x:v>Catalog, brand identity, Printful/fulfillment route, store pages, checkout, first campaign.</x:v>
      </x:c>
    </x:row>
    <x:row r="662" ht="48" customHeight="1">
      <x:c r="A662" s="60" t="str">
        <x:v>DOS-036</x:v>
      </x:c>
      <x:c r="B662" s="37" t="str">
        <x:v>Doggy Styles</x:v>
      </x:c>
      <x:c r="C662" s="37" t="str">
        <x:v>FAM-23</x:v>
      </x:c>
      <x:c r="D662" s="37" t="str">
        <x:v>Public website, SEO &amp; domain control</x:v>
      </x:c>
      <x:c r="E662" s="37" t="str">
        <x:v>Must</x:v>
      </x:c>
      <x:c r="F662" s="37" t="str">
        <x:v>Strict-route gate</x:v>
      </x:c>
      <x:c r="G662" s="37" t="str">
        <x:v>Doggy Styles: Public pages, discoverability, custom domain, shareability, and search metadata.</x:v>
      </x:c>
      <x:c r="H662" s="38" t="str">
        <x:v>Catalog, brand identity, Printful/fulfillment route, store pages, checkout, first campaign.</x:v>
      </x:c>
    </x:row>
    <x:row r="663" ht="48" customHeight="1">
      <x:c r="A663" s="60" t="str">
        <x:v>DOS-036</x:v>
      </x:c>
      <x:c r="B663" s="37" t="str">
        <x:v>Doggy Styles</x:v>
      </x:c>
      <x:c r="C663" s="37" t="str">
        <x:v>FAM-26</x:v>
      </x:c>
      <x:c r="D663" s="37" t="str">
        <x:v>Admin, CMS &amp; operational management</x:v>
      </x:c>
      <x:c r="E663" s="37" t="str">
        <x:v>Must</x:v>
      </x:c>
      <x:c r="F663" s="37" t="str">
        <x:v>Strict-route gate</x:v>
      </x:c>
      <x:c r="G663" s="37" t="str">
        <x:v>Doggy Styles: Admin views, content management, operational review, and human overrides.</x:v>
      </x:c>
      <x:c r="H663" s="38" t="str">
        <x:v>Catalog, brand identity, Printful/fulfillment route, store pages, checkout, first campaign.</x:v>
      </x:c>
    </x:row>
    <x:row r="664" ht="48" customHeight="1">
      <x:c r="A664" s="60" t="str">
        <x:v>DOS-036</x:v>
      </x:c>
      <x:c r="B664" s="37" t="str">
        <x:v>Doggy Styles</x:v>
      </x:c>
      <x:c r="C664" s="37" t="str">
        <x:v>FAM-27</x:v>
      </x:c>
      <x:c r="D664" s="37" t="str">
        <x:v>Portability, ownership &amp; escape path</x:v>
      </x:c>
      <x:c r="E664" s="37" t="str">
        <x:v>Must</x:v>
      </x:c>
      <x:c r="F664" s="37" t="str">
        <x:v>Strict-route gate</x:v>
      </x:c>
      <x:c r="G664" s="37" t="str">
        <x:v>Doggy Styles: Code/data export, GitHub, custom domains, migration, and lock-in control.</x:v>
      </x:c>
      <x:c r="H664" s="38" t="str">
        <x:v>Catalog, brand identity, Printful/fulfillment route, store pages, checkout, first campaign.</x:v>
      </x:c>
    </x:row>
    <x:row r="665" ht="48" customHeight="1">
      <x:c r="A665" s="60" t="str">
        <x:v>DOS-036</x:v>
      </x:c>
      <x:c r="B665" s="37" t="str">
        <x:v>Doggy Styles</x:v>
      </x:c>
      <x:c r="C665" s="37" t="str">
        <x:v>FAM-40</x:v>
      </x:c>
      <x:c r="D665" s="37" t="str">
        <x:v>Research, validation &amp; launch experiment</x:v>
      </x:c>
      <x:c r="E665" s="37" t="str">
        <x:v>Must</x:v>
      </x:c>
      <x:c r="F665" s="37" t="str">
        <x:v>Strict-route gate</x:v>
      </x:c>
      <x:c r="G665" s="37" t="str">
        <x:v>Doggy Styles: Landing tests, surveys, waitlists, hypotheses, experiments, and evidence capture.</x:v>
      </x:c>
      <x:c r="H665" s="38" t="str">
        <x:v>Catalog, brand identity, Printful/fulfillment route, store pages, checkout, first campaign.</x:v>
      </x:c>
    </x:row>
    <x:row r="666" ht="48" customHeight="1">
      <x:c r="A666" s="60" t="str">
        <x:v>DOS-036</x:v>
      </x:c>
      <x:c r="B666" s="37" t="str">
        <x:v>Doggy Styles</x:v>
      </x:c>
      <x:c r="C666" s="37" t="str">
        <x:v>FAM-02</x:v>
      </x:c>
      <x:c r="D666" s="37" t="str">
        <x:v>Android/mobile builder workability</x:v>
      </x:c>
      <x:c r="E666" s="37" t="str">
        <x:v>Important</x:v>
      </x:c>
      <x:c r="F666" s="37" t="str">
        <x:v>Score after gates</x:v>
      </x:c>
      <x:c r="G666" s="37" t="str">
        <x:v>Doggy Styles: Derek can build, edit, preview, test, and deploy with reasonable Android/mobile friction.</x:v>
      </x:c>
      <x:c r="H666" s="38" t="str">
        <x:v>Launch minimal catalog and test audience; defer custom pet profile app.</x:v>
      </x:c>
    </x:row>
    <x:row r="667" ht="48" customHeight="1">
      <x:c r="A667" s="60" t="str">
        <x:v>DOS-036</x:v>
      </x:c>
      <x:c r="B667" s="37" t="str">
        <x:v>Doggy Styles</x:v>
      </x:c>
      <x:c r="C667" s="37" t="str">
        <x:v>FAM-07</x:v>
      </x:c>
      <x:c r="D667" s="37" t="str">
        <x:v>File intake, storage &amp; lifecycle</x:v>
      </x:c>
      <x:c r="E667" s="37" t="str">
        <x:v>Important</x:v>
      </x:c>
      <x:c r="F667" s="37" t="str">
        <x:v>Score after gates</x:v>
      </x:c>
      <x:c r="G667" s="37" t="str">
        <x:v>Doggy Styles: Upload/import, validation, storage, retention, and file-size handling.</x:v>
      </x:c>
      <x:c r="H667" s="38" t="str">
        <x:v>Launch minimal catalog and test audience; defer custom pet profile app.</x:v>
      </x:c>
    </x:row>
    <x:row r="668" ht="48" customHeight="1">
      <x:c r="A668" s="60" t="str">
        <x:v>DOS-036</x:v>
      </x:c>
      <x:c r="B668" s="37" t="str">
        <x:v>Doggy Styles</x:v>
      </x:c>
      <x:c r="C668" s="37" t="str">
        <x:v>FAM-22</x:v>
      </x:c>
      <x:c r="D668" s="37" t="str">
        <x:v>APIs &amp; third-party integrations</x:v>
      </x:c>
      <x:c r="E668" s="37" t="str">
        <x:v>Important</x:v>
      </x:c>
      <x:c r="F668" s="37" t="str">
        <x:v>Score after gates</x:v>
      </x:c>
      <x:c r="G668" s="37" t="str">
        <x:v>Doggy Styles: External services, social/export targets, payment providers, and service connectors.</x:v>
      </x:c>
      <x:c r="H668" s="38" t="str">
        <x:v>Launch minimal catalog and test audience; defer custom pet profile app.</x:v>
      </x:c>
    </x:row>
    <x:row r="669" ht="48" customHeight="1">
      <x:c r="A669" s="60" t="str">
        <x:v>DOS-036</x:v>
      </x:c>
      <x:c r="B669" s="37" t="str">
        <x:v>Doggy Styles</x:v>
      </x:c>
      <x:c r="C669" s="37" t="str">
        <x:v>FAM-24</x:v>
      </x:c>
      <x:c r="D669" s="37" t="str">
        <x:v>Export, publishing &amp; share routes</x:v>
      </x:c>
      <x:c r="E669" s="37" t="str">
        <x:v>Important</x:v>
      </x:c>
      <x:c r="F669" s="37" t="str">
        <x:v>Score after gates</x:v>
      </x:c>
      <x:c r="G669" s="37" t="str">
        <x:v>Doggy Styles: Download/export, social publishing, share links, and portable output packages.</x:v>
      </x:c>
      <x:c r="H669" s="38" t="str">
        <x:v>Launch minimal catalog and test audience; defer custom pet profile app.</x:v>
      </x:c>
    </x:row>
    <x:row r="670" ht="48" customHeight="1">
      <x:c r="A670" s="60" t="str">
        <x:v>DOS-036</x:v>
      </x:c>
      <x:c r="B670" s="37" t="str">
        <x:v>Doggy Styles</x:v>
      </x:c>
      <x:c r="C670" s="37" t="str">
        <x:v>FAM-25</x:v>
      </x:c>
      <x:c r="D670" s="37" t="str">
        <x:v>Analytics, reporting &amp; decision dashboards</x:v>
      </x:c>
      <x:c r="E670" s="37" t="str">
        <x:v>Important</x:v>
      </x:c>
      <x:c r="F670" s="37" t="str">
        <x:v>Score after gates</x:v>
      </x:c>
      <x:c r="G670" s="37" t="str">
        <x:v>Doggy Styles: Usage metrics, charts, rankings, reporting, and decision support.</x:v>
      </x:c>
      <x:c r="H670" s="38" t="str">
        <x:v>Launch minimal catalog and test audience; defer custom pet profile app.</x:v>
      </x:c>
    </x:row>
    <x:row r="671" ht="48" customHeight="1">
      <x:c r="A671" s="60" t="str">
        <x:v>DOS-036</x:v>
      </x:c>
      <x:c r="B671" s="37" t="str">
        <x:v>Doggy Styles</x:v>
      </x:c>
      <x:c r="C671" s="37" t="str">
        <x:v>FAM-34</x:v>
      </x:c>
      <x:c r="D671" s="37" t="str">
        <x:v>Lead capture, booking &amp; service commerce</x:v>
      </x:c>
      <x:c r="E671" s="37" t="str">
        <x:v>Important</x:v>
      </x:c>
      <x:c r="F671" s="37" t="str">
        <x:v>Score after gates</x:v>
      </x:c>
      <x:c r="G671" s="37" t="str">
        <x:v>Doggy Styles: Inquiry forms, booking, sales funnels, quotes, and service-client handoff.</x:v>
      </x:c>
      <x:c r="H671" s="38" t="str">
        <x:v>Launch minimal catalog and test audience; defer custom pet profile app.</x:v>
      </x:c>
    </x:row>
    <x:row r="672" ht="48" customHeight="1">
      <x:c r="A672" s="60" t="str">
        <x:v>DOS-036</x:v>
      </x:c>
      <x:c r="B672" s="37" t="str">
        <x:v>Doggy Styles</x:v>
      </x:c>
      <x:c r="C672" s="37" t="str">
        <x:v>FAM-39</x:v>
      </x:c>
      <x:c r="D672" s="37" t="str">
        <x:v>Physical-product companion &amp; validation</x:v>
      </x:c>
      <x:c r="E672" s="37" t="str">
        <x:v>Important</x:v>
      </x:c>
      <x:c r="F672" s="37" t="str">
        <x:v>Score after gates</x:v>
      </x:c>
      <x:c r="G672" s="37" t="str">
        <x:v>Doggy Styles: Landing pages, waitlists, product configuration, hardware documentation, and physical-product data.</x:v>
      </x:c>
      <x:c r="H672" s="38" t="str">
        <x:v>Launch minimal catalog and test audience; defer custom pet profile app.</x:v>
      </x:c>
    </x:row>
    <x:row r="673" ht="48" customHeight="1">
      <x:c r="A673" s="60" t="str">
        <x:v>DOS-036</x:v>
      </x:c>
      <x:c r="B673" s="37" t="str">
        <x:v>Doggy Styles</x:v>
      </x:c>
      <x:c r="C673" s="37" t="str">
        <x:v>FAM-03</x:v>
      </x:c>
      <x:c r="D673" s="37" t="str">
        <x:v>Authentication, identity &amp; roles</x:v>
      </x:c>
      <x:c r="E673" s="37" t="str">
        <x:v>Expansion</x:v>
      </x:c>
      <x:c r="F673" s="37" t="str">
        <x:v>Flexible / later only</x:v>
      </x:c>
      <x:c r="G673" s="37" t="str">
        <x:v>Doggy Styles: Sign-in, role-aware access, member identity, and permissions.</x:v>
      </x:c>
      <x:c r="H673" s="38" t="str">
        <x:v>Personalized tools, subscriptions, pet community.</x:v>
      </x:c>
    </x:row>
    <x:row r="674" ht="48" customHeight="1">
      <x:c r="A674" s="60" t="str">
        <x:v>DOS-036</x:v>
      </x:c>
      <x:c r="B674" s="37" t="str">
        <x:v>Doggy Styles</x:v>
      </x:c>
      <x:c r="C674" s="37" t="str">
        <x:v>FAM-04</x:v>
      </x:c>
      <x:c r="D674" s="37" t="str">
        <x:v>Profiles, portfolios &amp; relationship records</x:v>
      </x:c>
      <x:c r="E674" s="37" t="str">
        <x:v>Expansion</x:v>
      </x:c>
      <x:c r="F674" s="37" t="str">
        <x:v>Flexible / later only</x:v>
      </x:c>
      <x:c r="G674" s="37" t="str">
        <x:v>Doggy Styles: Persistent user/member/creator profiles and linked relationships.</x:v>
      </x:c>
      <x:c r="H674" s="38" t="str">
        <x:v>Personalized tools, subscriptions, pet community.</x:v>
      </x:c>
    </x:row>
    <x:row r="675" ht="48" customHeight="1">
      <x:c r="A675" s="60" t="str">
        <x:v>DOS-036</x:v>
      </x:c>
      <x:c r="B675" s="37" t="str">
        <x:v>Doggy Styles</x:v>
      </x:c>
      <x:c r="C675" s="37" t="str">
        <x:v>FAM-19</x:v>
      </x:c>
      <x:c r="D675" s="37" t="str">
        <x:v>Rewards, badges &amp; entitlements</x:v>
      </x:c>
      <x:c r="E675" s="37" t="str">
        <x:v>Expansion</x:v>
      </x:c>
      <x:c r="F675" s="37" t="str">
        <x:v>Flexible / later only</x:v>
      </x:c>
      <x:c r="G675" s="37" t="str">
        <x:v>Doggy Styles: Loyalty, roles, rewards, badges, credits, and access logic.</x:v>
      </x:c>
      <x:c r="H675" s="38" t="str">
        <x:v>Personalized tools, subscriptions, pet community.</x:v>
      </x:c>
    </x:row>
    <x:row r="676" ht="48" customHeight="1">
      <x:c r="A676" s="60" t="str">
        <x:v>DOS-036</x:v>
      </x:c>
      <x:c r="B676" s="37" t="str">
        <x:v>Doggy Styles</x:v>
      </x:c>
      <x:c r="C676" s="37" t="str">
        <x:v>FAM-32</x:v>
      </x:c>
      <x:c r="D676" s="37" t="str">
        <x:v>Marketplace, templates &amp; creator assets</x:v>
      </x:c>
      <x:c r="E676" s="37" t="str">
        <x:v>Expansion</x:v>
      </x:c>
      <x:c r="F676" s="37" t="str">
        <x:v>Flexible / later only</x:v>
      </x:c>
      <x:c r="G676" s="37" t="str">
        <x:v>Doggy Styles: Listings, reusable assets, creator publishing, reviews, and marketplace rules.</x:v>
      </x:c>
      <x:c r="H676" s="38" t="str">
        <x:v>Personalized tools, subscriptions, pet community.</x:v>
      </x:c>
    </x:row>
    <x:row r="677" ht="48" customHeight="1">
      <x:c r="A677" s="60" t="str">
        <x:v>DOS-037</x:v>
      </x:c>
      <x:c r="B677" s="37" t="str">
        <x:v>ZAFtastic Community Hub / Life Hub</x:v>
      </x:c>
      <x:c r="C677" s="37" t="str">
        <x:v>FAM-01</x:v>
      </x:c>
      <x:c r="D677" s="37" t="str">
        <x:v>Responsive web / PWA interface</x:v>
      </x:c>
      <x:c r="E677" s="37" t="str">
        <x:v>Must</x:v>
      </x:c>
      <x:c r="F677" s="37" t="str">
        <x:v>Strict-route gate</x:v>
      </x:c>
      <x:c r="G677" s="37" t="str">
        <x:v>ZAFtastic Community Hub / Life Hub: Mobile-first responsive screens and app-like web navigation.</x:v>
      </x:c>
      <x:c r="H677" s="38" t="str">
        <x:v>Define physical concept, service mix, audience, pilot location hypothesis, credibility site, lead/investor packet.</x:v>
      </x:c>
    </x:row>
    <x:row r="678" ht="48" customHeight="1">
      <x:c r="A678" s="60" t="str">
        <x:v>DOS-037</x:v>
      </x:c>
      <x:c r="B678" s="37" t="str">
        <x:v>ZAFtastic Community Hub / Life Hub</x:v>
      </x:c>
      <x:c r="C678" s="37" t="str">
        <x:v>FAM-23</x:v>
      </x:c>
      <x:c r="D678" s="37" t="str">
        <x:v>Public website, SEO &amp; domain control</x:v>
      </x:c>
      <x:c r="E678" s="37" t="str">
        <x:v>Must</x:v>
      </x:c>
      <x:c r="F678" s="37" t="str">
        <x:v>Strict-route gate</x:v>
      </x:c>
      <x:c r="G678" s="37" t="str">
        <x:v>ZAFtastic Community Hub / Life Hub: Public pages, discoverability, custom domain, shareability, and search metadata.</x:v>
      </x:c>
      <x:c r="H678" s="38" t="str">
        <x:v>Define physical concept, service mix, audience, pilot location hypothesis, credibility site, lead/investor packet.</x:v>
      </x:c>
    </x:row>
    <x:row r="679" ht="48" customHeight="1">
      <x:c r="A679" s="60" t="str">
        <x:v>DOS-037</x:v>
      </x:c>
      <x:c r="B679" s="37" t="str">
        <x:v>ZAFtastic Community Hub / Life Hub</x:v>
      </x:c>
      <x:c r="C679" s="37" t="str">
        <x:v>FAM-34</x:v>
      </x:c>
      <x:c r="D679" s="37" t="str">
        <x:v>Lead capture, booking &amp; service commerce</x:v>
      </x:c>
      <x:c r="E679" s="37" t="str">
        <x:v>Must</x:v>
      </x:c>
      <x:c r="F679" s="37" t="str">
        <x:v>Strict-route gate</x:v>
      </x:c>
      <x:c r="G679" s="37" t="str">
        <x:v>ZAFtastic Community Hub / Life Hub: Inquiry forms, booking, sales funnels, quotes, and service-client handoff.</x:v>
      </x:c>
      <x:c r="H679" s="38" t="str">
        <x:v>Define physical concept, service mix, audience, pilot location hypothesis, credibility site, lead/investor packet.</x:v>
      </x:c>
    </x:row>
    <x:row r="680" ht="48" customHeight="1">
      <x:c r="A680" s="60" t="str">
        <x:v>DOS-037</x:v>
      </x:c>
      <x:c r="B680" s="37" t="str">
        <x:v>ZAFtastic Community Hub / Life Hub</x:v>
      </x:c>
      <x:c r="C680" s="37" t="str">
        <x:v>FAM-40</x:v>
      </x:c>
      <x:c r="D680" s="37" t="str">
        <x:v>Research, validation &amp; launch experiment</x:v>
      </x:c>
      <x:c r="E680" s="37" t="str">
        <x:v>Must</x:v>
      </x:c>
      <x:c r="F680" s="37" t="str">
        <x:v>Strict-route gate</x:v>
      </x:c>
      <x:c r="G680" s="37" t="str">
        <x:v>ZAFtastic Community Hub / Life Hub: Landing tests, surveys, waitlists, hypotheses, experiments, and evidence capture.</x:v>
      </x:c>
      <x:c r="H680" s="38" t="str">
        <x:v>Define physical concept, service mix, audience, pilot location hypothesis, credibility site, lead/investor packet.</x:v>
      </x:c>
    </x:row>
    <x:row r="681" ht="48" customHeight="1">
      <x:c r="A681" s="60" t="str">
        <x:v>DOS-037</x:v>
      </x:c>
      <x:c r="B681" s="37" t="str">
        <x:v>ZAFtastic Community Hub / Life Hub</x:v>
      </x:c>
      <x:c r="C681" s="37" t="str">
        <x:v>FAM-02</x:v>
      </x:c>
      <x:c r="D681" s="37" t="str">
        <x:v>Android/mobile builder workability</x:v>
      </x:c>
      <x:c r="E681" s="37" t="str">
        <x:v>Important</x:v>
      </x:c>
      <x:c r="F681" s="37" t="str">
        <x:v>Score after gates</x:v>
      </x:c>
      <x:c r="G681" s="37" t="str">
        <x:v>ZAFtastic Community Hub / Life Hub: Derek can build, edit, preview, test, and deploy with reasonable Android/mobile friction.</x:v>
      </x:c>
      <x:c r="H681" s="38" t="str">
        <x:v>Treat as researched vision/pitch system first; defer platform/app build.</x:v>
      </x:c>
    </x:row>
    <x:row r="682" ht="48" customHeight="1">
      <x:c r="A682" s="60" t="str">
        <x:v>DOS-037</x:v>
      </x:c>
      <x:c r="B682" s="37" t="str">
        <x:v>ZAFtastic Community Hub / Life Hub</x:v>
      </x:c>
      <x:c r="C682" s="37" t="str">
        <x:v>FAM-05</x:v>
      </x:c>
      <x:c r="D682" s="37" t="str">
        <x:v>Structured database &amp; persistent records</x:v>
      </x:c>
      <x:c r="E682" s="37" t="str">
        <x:v>Important</x:v>
      </x:c>
      <x:c r="F682" s="37" t="str">
        <x:v>Score after gates</x:v>
      </x:c>
      <x:c r="G682" s="37" t="str">
        <x:v>ZAFtastic Community Hub / Life Hub: Reliable structured data storage, retrieval, and updates.</x:v>
      </x:c>
      <x:c r="H682" s="38" t="str">
        <x:v>Treat as researched vision/pitch system first; defer platform/app build.</x:v>
      </x:c>
    </x:row>
    <x:row r="683" ht="48" customHeight="1">
      <x:c r="A683" s="60" t="str">
        <x:v>DOS-037</x:v>
      </x:c>
      <x:c r="B683" s="37" t="str">
        <x:v>ZAFtastic Community Hub / Life Hub</x:v>
      </x:c>
      <x:c r="C683" s="37" t="str">
        <x:v>FAM-25</x:v>
      </x:c>
      <x:c r="D683" s="37" t="str">
        <x:v>Analytics, reporting &amp; decision dashboards</x:v>
      </x:c>
      <x:c r="E683" s="37" t="str">
        <x:v>Important</x:v>
      </x:c>
      <x:c r="F683" s="37" t="str">
        <x:v>Score after gates</x:v>
      </x:c>
      <x:c r="G683" s="37" t="str">
        <x:v>ZAFtastic Community Hub / Life Hub: Usage metrics, charts, rankings, reporting, and decision support.</x:v>
      </x:c>
      <x:c r="H683" s="38" t="str">
        <x:v>Treat as researched vision/pitch system first; defer platform/app build.</x:v>
      </x:c>
    </x:row>
    <x:row r="684" ht="48" customHeight="1">
      <x:c r="A684" s="60" t="str">
        <x:v>DOS-037</x:v>
      </x:c>
      <x:c r="B684" s="37" t="str">
        <x:v>ZAFtastic Community Hub / Life Hub</x:v>
      </x:c>
      <x:c r="C684" s="37" t="str">
        <x:v>FAM-26</x:v>
      </x:c>
      <x:c r="D684" s="37" t="str">
        <x:v>Admin, CMS &amp; operational management</x:v>
      </x:c>
      <x:c r="E684" s="37" t="str">
        <x:v>Important</x:v>
      </x:c>
      <x:c r="F684" s="37" t="str">
        <x:v>Score after gates</x:v>
      </x:c>
      <x:c r="G684" s="37" t="str">
        <x:v>ZAFtastic Community Hub / Life Hub: Admin views, content management, operational review, and human overrides.</x:v>
      </x:c>
      <x:c r="H684" s="38" t="str">
        <x:v>Treat as researched vision/pitch system first; defer platform/app build.</x:v>
      </x:c>
    </x:row>
    <x:row r="685" ht="48" customHeight="1">
      <x:c r="A685" s="60" t="str">
        <x:v>DOS-037</x:v>
      </x:c>
      <x:c r="B685" s="37" t="str">
        <x:v>ZAFtastic Community Hub / Life Hub</x:v>
      </x:c>
      <x:c r="C685" s="37" t="str">
        <x:v>FAM-27</x:v>
      </x:c>
      <x:c r="D685" s="37" t="str">
        <x:v>Portability, ownership &amp; escape path</x:v>
      </x:c>
      <x:c r="E685" s="37" t="str">
        <x:v>Important</x:v>
      </x:c>
      <x:c r="F685" s="37" t="str">
        <x:v>Score after gates</x:v>
      </x:c>
      <x:c r="G685" s="37" t="str">
        <x:v>ZAFtastic Community Hub / Life Hub: Code/data export, GitHub, custom domains, migration, and lock-in control.</x:v>
      </x:c>
      <x:c r="H685" s="38" t="str">
        <x:v>Treat as researched vision/pitch system first; defer platform/app build.</x:v>
      </x:c>
    </x:row>
    <x:row r="686" ht="48" customHeight="1">
      <x:c r="A686" s="60" t="str">
        <x:v>DOS-037</x:v>
      </x:c>
      <x:c r="B686" s="37" t="str">
        <x:v>ZAFtastic Community Hub / Life Hub</x:v>
      </x:c>
      <x:c r="C686" s="37" t="str">
        <x:v>FAM-03</x:v>
      </x:c>
      <x:c r="D686" s="37" t="str">
        <x:v>Authentication, identity &amp; roles</x:v>
      </x:c>
      <x:c r="E686" s="37" t="str">
        <x:v>Expansion</x:v>
      </x:c>
      <x:c r="F686" s="37" t="str">
        <x:v>Flexible / later only</x:v>
      </x:c>
      <x:c r="G686" s="37" t="str">
        <x:v>ZAFtastic Community Hub / Life Hub: Sign-in, role-aware access, member identity, and permissions.</x:v>
      </x:c>
      <x:c r="H686" s="38" t="str">
        <x:v>Companion app, membership, schedules, maps, booking, service marketplace.</x:v>
      </x:c>
    </x:row>
    <x:row r="687" ht="48" customHeight="1">
      <x:c r="A687" s="60" t="str">
        <x:v>DOS-037</x:v>
      </x:c>
      <x:c r="B687" s="37" t="str">
        <x:v>ZAFtastic Community Hub / Life Hub</x:v>
      </x:c>
      <x:c r="C687" s="37" t="str">
        <x:v>FAM-12</x:v>
      </x:c>
      <x:c r="D687" s="37" t="str">
        <x:v>AI text generation, analysis &amp; agents</x:v>
      </x:c>
      <x:c r="E687" s="37" t="str">
        <x:v>Expansion</x:v>
      </x:c>
      <x:c r="F687" s="37" t="str">
        <x:v>Flexible / later only</x:v>
      </x:c>
      <x:c r="G687" s="37" t="str">
        <x:v>ZAFtastic Community Hub / Life Hub: Prompted generation, classification, summarization, reasoning, or assistant behavior.</x:v>
      </x:c>
      <x:c r="H687" s="38" t="str">
        <x:v>Companion app, membership, schedules, maps, booking, service marketplace.</x:v>
      </x:c>
    </x:row>
    <x:row r="688" ht="48" customHeight="1">
      <x:c r="A688" s="60" t="str">
        <x:v>DOS-037</x:v>
      </x:c>
      <x:c r="B688" s="37" t="str">
        <x:v>ZAFtastic Community Hub / Life Hub</x:v>
      </x:c>
      <x:c r="C688" s="37" t="str">
        <x:v>FAM-17</x:v>
      </x:c>
      <x:c r="D688" s="37" t="str">
        <x:v>Payments, subscriptions &amp; billing</x:v>
      </x:c>
      <x:c r="E688" s="37" t="str">
        <x:v>Expansion</x:v>
      </x:c>
      <x:c r="F688" s="37" t="str">
        <x:v>Flexible / later only</x:v>
      </x:c>
      <x:c r="G688" s="37" t="str">
        <x:v>ZAFtastic Community Hub / Life Hub: Payments, subscriptions, checkout, entitlements, and billing-aware workflows.</x:v>
      </x:c>
      <x:c r="H688" s="38" t="str">
        <x:v>Companion app, membership, schedules, maps, booking, service marketplace.</x:v>
      </x:c>
    </x:row>
    <x:row r="689" ht="48" customHeight="1">
      <x:c r="A689" s="60" t="str">
        <x:v>DOS-037</x:v>
      </x:c>
      <x:c r="B689" s="37" t="str">
        <x:v>ZAFtastic Community Hub / Life Hub</x:v>
      </x:c>
      <x:c r="C689" s="37" t="str">
        <x:v>FAM-22</x:v>
      </x:c>
      <x:c r="D689" s="37" t="str">
        <x:v>APIs &amp; third-party integrations</x:v>
      </x:c>
      <x:c r="E689" s="37" t="str">
        <x:v>Expansion</x:v>
      </x:c>
      <x:c r="F689" s="37" t="str">
        <x:v>Flexible / later only</x:v>
      </x:c>
      <x:c r="G689" s="37" t="str">
        <x:v>ZAFtastic Community Hub / Life Hub: External services, social/export targets, payment providers, and service connectors.</x:v>
      </x:c>
      <x:c r="H689" s="38" t="str">
        <x:v>Companion app, membership, schedules, maps, booking, service marketplace.</x:v>
      </x:c>
    </x:row>
    <x:row r="690" ht="48" customHeight="1">
      <x:c r="A690" s="60" t="str">
        <x:v>DOS-038</x:v>
      </x:c>
      <x:c r="B690" s="37" t="str">
        <x:v>Karaoke Dating</x:v>
      </x:c>
      <x:c r="C690" s="37" t="str">
        <x:v>FAM-01</x:v>
      </x:c>
      <x:c r="D690" s="37" t="str">
        <x:v>Responsive web / PWA interface</x:v>
      </x:c>
      <x:c r="E690" s="37" t="str">
        <x:v>Must</x:v>
      </x:c>
      <x:c r="F690" s="37" t="str">
        <x:v>Strict-route gate</x:v>
      </x:c>
      <x:c r="G690" s="37" t="str">
        <x:v>Karaoke Dating: Mobile-first responsive screens and app-like web navigation.</x:v>
      </x:c>
      <x:c r="H690" s="38" t="str">
        <x:v>Define audience, safety model, matching premise, consent, moderation, and smallest viable interaction.</x:v>
      </x:c>
    </x:row>
    <x:row r="691" ht="48" customHeight="1">
      <x:c r="A691" s="60" t="str">
        <x:v>DOS-038</x:v>
      </x:c>
      <x:c r="B691" s="37" t="str">
        <x:v>Karaoke Dating</x:v>
      </x:c>
      <x:c r="C691" s="37" t="str">
        <x:v>FAM-23</x:v>
      </x:c>
      <x:c r="D691" s="37" t="str">
        <x:v>Public website, SEO &amp; domain control</x:v>
      </x:c>
      <x:c r="E691" s="37" t="str">
        <x:v>Must</x:v>
      </x:c>
      <x:c r="F691" s="37" t="str">
        <x:v>Strict-route gate</x:v>
      </x:c>
      <x:c r="G691" s="37" t="str">
        <x:v>Karaoke Dating: Public pages, discoverability, custom domain, shareability, and search metadata.</x:v>
      </x:c>
      <x:c r="H691" s="38" t="str">
        <x:v>Define audience, safety model, matching premise, consent, moderation, and smallest viable interaction.</x:v>
      </x:c>
    </x:row>
    <x:row r="692" ht="48" customHeight="1">
      <x:c r="A692" s="60" t="str">
        <x:v>DOS-038</x:v>
      </x:c>
      <x:c r="B692" s="37" t="str">
        <x:v>Karaoke Dating</x:v>
      </x:c>
      <x:c r="C692" s="37" t="str">
        <x:v>FAM-34</x:v>
      </x:c>
      <x:c r="D692" s="37" t="str">
        <x:v>Lead capture, booking &amp; service commerce</x:v>
      </x:c>
      <x:c r="E692" s="37" t="str">
        <x:v>Must</x:v>
      </x:c>
      <x:c r="F692" s="37" t="str">
        <x:v>Strict-route gate</x:v>
      </x:c>
      <x:c r="G692" s="37" t="str">
        <x:v>Karaoke Dating: Inquiry forms, booking, sales funnels, quotes, and service-client handoff.</x:v>
      </x:c>
      <x:c r="H692" s="38" t="str">
        <x:v>Define audience, safety model, matching premise, consent, moderation, and smallest viable interaction.</x:v>
      </x:c>
    </x:row>
    <x:row r="693" ht="48" customHeight="1">
      <x:c r="A693" s="60" t="str">
        <x:v>DOS-038</x:v>
      </x:c>
      <x:c r="B693" s="37" t="str">
        <x:v>Karaoke Dating</x:v>
      </x:c>
      <x:c r="C693" s="37" t="str">
        <x:v>FAM-40</x:v>
      </x:c>
      <x:c r="D693" s="37" t="str">
        <x:v>Research, validation &amp; launch experiment</x:v>
      </x:c>
      <x:c r="E693" s="37" t="str">
        <x:v>Must</x:v>
      </x:c>
      <x:c r="F693" s="37" t="str">
        <x:v>Strict-route gate</x:v>
      </x:c>
      <x:c r="G693" s="37" t="str">
        <x:v>Karaoke Dating: Landing tests, surveys, waitlists, hypotheses, experiments, and evidence capture.</x:v>
      </x:c>
      <x:c r="H693" s="38" t="str">
        <x:v>Define audience, safety model, matching premise, consent, moderation, and smallest viable interaction.</x:v>
      </x:c>
    </x:row>
    <x:row r="694" ht="48" customHeight="1">
      <x:c r="A694" s="60" t="str">
        <x:v>DOS-038</x:v>
      </x:c>
      <x:c r="B694" s="37" t="str">
        <x:v>Karaoke Dating</x:v>
      </x:c>
      <x:c r="C694" s="37" t="str">
        <x:v>FAM-02</x:v>
      </x:c>
      <x:c r="D694" s="37" t="str">
        <x:v>Android/mobile builder workability</x:v>
      </x:c>
      <x:c r="E694" s="37" t="str">
        <x:v>Important</x:v>
      </x:c>
      <x:c r="F694" s="37" t="str">
        <x:v>Score after gates</x:v>
      </x:c>
      <x:c r="G694" s="37" t="str">
        <x:v>Karaoke Dating: Derek can build, edit, preview, test, and deploy with reasonable Android/mobile friction.</x:v>
      </x:c>
      <x:c r="H694" s="38" t="str">
        <x:v>Start as a landing/interest test; defer live matching and social graph.</x:v>
      </x:c>
    </x:row>
    <x:row r="695" ht="48" customHeight="1">
      <x:c r="A695" s="60" t="str">
        <x:v>DOS-038</x:v>
      </x:c>
      <x:c r="B695" s="37" t="str">
        <x:v>Karaoke Dating</x:v>
      </x:c>
      <x:c r="C695" s="37" t="str">
        <x:v>FAM-05</x:v>
      </x:c>
      <x:c r="D695" s="37" t="str">
        <x:v>Structured database &amp; persistent records</x:v>
      </x:c>
      <x:c r="E695" s="37" t="str">
        <x:v>Important</x:v>
      </x:c>
      <x:c r="F695" s="37" t="str">
        <x:v>Score after gates</x:v>
      </x:c>
      <x:c r="G695" s="37" t="str">
        <x:v>Karaoke Dating: Reliable structured data storage, retrieval, and updates.</x:v>
      </x:c>
      <x:c r="H695" s="38" t="str">
        <x:v>Start as a landing/interest test; defer live matching and social graph.</x:v>
      </x:c>
    </x:row>
    <x:row r="696" ht="48" customHeight="1">
      <x:c r="A696" s="60" t="str">
        <x:v>DOS-038</x:v>
      </x:c>
      <x:c r="B696" s="37" t="str">
        <x:v>Karaoke Dating</x:v>
      </x:c>
      <x:c r="C696" s="37" t="str">
        <x:v>FAM-25</x:v>
      </x:c>
      <x:c r="D696" s="37" t="str">
        <x:v>Analytics, reporting &amp; decision dashboards</x:v>
      </x:c>
      <x:c r="E696" s="37" t="str">
        <x:v>Important</x:v>
      </x:c>
      <x:c r="F696" s="37" t="str">
        <x:v>Score after gates</x:v>
      </x:c>
      <x:c r="G696" s="37" t="str">
        <x:v>Karaoke Dating: Usage metrics, charts, rankings, reporting, and decision support.</x:v>
      </x:c>
      <x:c r="H696" s="38" t="str">
        <x:v>Start as a landing/interest test; defer live matching and social graph.</x:v>
      </x:c>
    </x:row>
    <x:row r="697" ht="48" customHeight="1">
      <x:c r="A697" s="60" t="str">
        <x:v>DOS-038</x:v>
      </x:c>
      <x:c r="B697" s="37" t="str">
        <x:v>Karaoke Dating</x:v>
      </x:c>
      <x:c r="C697" s="37" t="str">
        <x:v>FAM-26</x:v>
      </x:c>
      <x:c r="D697" s="37" t="str">
        <x:v>Admin, CMS &amp; operational management</x:v>
      </x:c>
      <x:c r="E697" s="37" t="str">
        <x:v>Important</x:v>
      </x:c>
      <x:c r="F697" s="37" t="str">
        <x:v>Score after gates</x:v>
      </x:c>
      <x:c r="G697" s="37" t="str">
        <x:v>Karaoke Dating: Admin views, content management, operational review, and human overrides.</x:v>
      </x:c>
      <x:c r="H697" s="38" t="str">
        <x:v>Start as a landing/interest test; defer live matching and social graph.</x:v>
      </x:c>
    </x:row>
    <x:row r="698" ht="48" customHeight="1">
      <x:c r="A698" s="60" t="str">
        <x:v>DOS-038</x:v>
      </x:c>
      <x:c r="B698" s="37" t="str">
        <x:v>Karaoke Dating</x:v>
      </x:c>
      <x:c r="C698" s="37" t="str">
        <x:v>FAM-27</x:v>
      </x:c>
      <x:c r="D698" s="37" t="str">
        <x:v>Portability, ownership &amp; escape path</x:v>
      </x:c>
      <x:c r="E698" s="37" t="str">
        <x:v>Important</x:v>
      </x:c>
      <x:c r="F698" s="37" t="str">
        <x:v>Score after gates</x:v>
      </x:c>
      <x:c r="G698" s="37" t="str">
        <x:v>Karaoke Dating: Code/data export, GitHub, custom domains, migration, and lock-in control.</x:v>
      </x:c>
      <x:c r="H698" s="38" t="str">
        <x:v>Start as a landing/interest test; defer live matching and social graph.</x:v>
      </x:c>
    </x:row>
    <x:row r="699" ht="48" customHeight="1">
      <x:c r="A699" s="60" t="str">
        <x:v>DOS-038</x:v>
      </x:c>
      <x:c r="B699" s="37" t="str">
        <x:v>Karaoke Dating</x:v>
      </x:c>
      <x:c r="C699" s="37" t="str">
        <x:v>FAM-03</x:v>
      </x:c>
      <x:c r="D699" s="37" t="str">
        <x:v>Authentication, identity &amp; roles</x:v>
      </x:c>
      <x:c r="E699" s="37" t="str">
        <x:v>Expansion</x:v>
      </x:c>
      <x:c r="F699" s="37" t="str">
        <x:v>Flexible / later only</x:v>
      </x:c>
      <x:c r="G699" s="37" t="str">
        <x:v>Karaoke Dating: Sign-in, role-aware access, member identity, and permissions.</x:v>
      </x:c>
      <x:c r="H699" s="38" t="str">
        <x:v>Profiles, matching, events, karaoke performance links.</x:v>
      </x:c>
    </x:row>
    <x:row r="700" ht="48" customHeight="1">
      <x:c r="A700" s="60" t="str">
        <x:v>DOS-038</x:v>
      </x:c>
      <x:c r="B700" s="37" t="str">
        <x:v>Karaoke Dating</x:v>
      </x:c>
      <x:c r="C700" s="37" t="str">
        <x:v>FAM-12</x:v>
      </x:c>
      <x:c r="D700" s="37" t="str">
        <x:v>AI text generation, analysis &amp; agents</x:v>
      </x:c>
      <x:c r="E700" s="37" t="str">
        <x:v>Expansion</x:v>
      </x:c>
      <x:c r="F700" s="37" t="str">
        <x:v>Flexible / later only</x:v>
      </x:c>
      <x:c r="G700" s="37" t="str">
        <x:v>Karaoke Dating: Prompted generation, classification, summarization, reasoning, or assistant behavior.</x:v>
      </x:c>
      <x:c r="H700" s="38" t="str">
        <x:v>Profiles, matching, events, karaoke performance links.</x:v>
      </x:c>
    </x:row>
    <x:row r="701" ht="48" customHeight="1">
      <x:c r="A701" s="60" t="str">
        <x:v>DOS-038</x:v>
      </x:c>
      <x:c r="B701" s="37" t="str">
        <x:v>Karaoke Dating</x:v>
      </x:c>
      <x:c r="C701" s="37" t="str">
        <x:v>FAM-17</x:v>
      </x:c>
      <x:c r="D701" s="37" t="str">
        <x:v>Payments, subscriptions &amp; billing</x:v>
      </x:c>
      <x:c r="E701" s="37" t="str">
        <x:v>Expansion</x:v>
      </x:c>
      <x:c r="F701" s="37" t="str">
        <x:v>Flexible / later only</x:v>
      </x:c>
      <x:c r="G701" s="37" t="str">
        <x:v>Karaoke Dating: Payments, subscriptions, checkout, entitlements, and billing-aware workflows.</x:v>
      </x:c>
      <x:c r="H701" s="38" t="str">
        <x:v>Profiles, matching, events, karaoke performance links.</x:v>
      </x:c>
    </x:row>
    <x:row r="702" ht="48" customHeight="1">
      <x:c r="A702" s="60" t="str">
        <x:v>DOS-038</x:v>
      </x:c>
      <x:c r="B702" s="37" t="str">
        <x:v>Karaoke Dating</x:v>
      </x:c>
      <x:c r="C702" s="37" t="str">
        <x:v>FAM-22</x:v>
      </x:c>
      <x:c r="D702" s="37" t="str">
        <x:v>APIs &amp; third-party integrations</x:v>
      </x:c>
      <x:c r="E702" s="37" t="str">
        <x:v>Expansion</x:v>
      </x:c>
      <x:c r="F702" s="37" t="str">
        <x:v>Flexible / later only</x:v>
      </x:c>
      <x:c r="G702" s="37" t="str">
        <x:v>Karaoke Dating: External services, social/export targets, payment providers, and service connectors.</x:v>
      </x:c>
      <x:c r="H702" s="38" t="str">
        <x:v>Profiles, matching, events, karaoke performance links.</x:v>
      </x:c>
    </x:row>
    <x:row r="703" ht="48" customHeight="1">
      <x:c r="A703" s="60" t="str">
        <x:v>DOS-039</x:v>
      </x:c>
      <x:c r="B703" s="37" t="str">
        <x:v>ZAF Shared Platform Foundation</x:v>
      </x:c>
      <x:c r="C703" s="37" t="str">
        <x:v>FAM-01</x:v>
      </x:c>
      <x:c r="D703" s="37" t="str">
        <x:v>Responsive web / PWA interface</x:v>
      </x:c>
      <x:c r="E703" s="37" t="str">
        <x:v>Must</x:v>
      </x:c>
      <x:c r="F703" s="37" t="str">
        <x:v>Strict-route gate</x:v>
      </x:c>
      <x:c r="G703" s="37" t="str">
        <x:v>ZAF Shared Platform Foundation: Mobile-first responsive screens and app-like web navigation.</x:v>
      </x:c>
      <x:c r="H703" s="38" t="str">
        <x:v>Shared auth/roles, common data boundaries, media vault plan, analytics events, moderation/reporting policy, export conventions.</x:v>
      </x:c>
    </x:row>
    <x:row r="704" ht="48" customHeight="1">
      <x:c r="A704" s="60" t="str">
        <x:v>DOS-039</x:v>
      </x:c>
      <x:c r="B704" s="37" t="str">
        <x:v>ZAF Shared Platform Foundation</x:v>
      </x:c>
      <x:c r="C704" s="37" t="str">
        <x:v>FAM-05</x:v>
      </x:c>
      <x:c r="D704" s="37" t="str">
        <x:v>Structured database &amp; persistent records</x:v>
      </x:c>
      <x:c r="E704" s="37" t="str">
        <x:v>Must</x:v>
      </x:c>
      <x:c r="F704" s="37" t="str">
        <x:v>Strict-route gate</x:v>
      </x:c>
      <x:c r="G704" s="37" t="str">
        <x:v>ZAF Shared Platform Foundation: Reliable structured data storage, retrieval, and updates.</x:v>
      </x:c>
      <x:c r="H704" s="38" t="str">
        <x:v>Shared auth/roles, common data boundaries, media vault plan, analytics events, moderation/reporting policy, export conventions.</x:v>
      </x:c>
    </x:row>
    <x:row r="705" ht="48" customHeight="1">
      <x:c r="A705" s="60" t="str">
        <x:v>DOS-039</x:v>
      </x:c>
      <x:c r="B705" s="37" t="str">
        <x:v>ZAF Shared Platform Foundation</x:v>
      </x:c>
      <x:c r="C705" s="37" t="str">
        <x:v>FAM-06</x:v>
      </x:c>
      <x:c r="D705" s="37" t="str">
        <x:v>Search, filters, lists &amp; directories</x:v>
      </x:c>
      <x:c r="E705" s="37" t="str">
        <x:v>Must</x:v>
      </x:c>
      <x:c r="F705" s="37" t="str">
        <x:v>Strict-route gate</x:v>
      </x:c>
      <x:c r="G705" s="37" t="str">
        <x:v>ZAF Shared Platform Foundation: Searchable libraries, member lists, catalog browsing, and filtered views.</x:v>
      </x:c>
      <x:c r="H705" s="38" t="str">
        <x:v>Shared auth/roles, common data boundaries, media vault plan, analytics events, moderation/reporting policy, export conventions.</x:v>
      </x:c>
    </x:row>
    <x:row r="706" ht="48" customHeight="1">
      <x:c r="A706" s="60" t="str">
        <x:v>DOS-039</x:v>
      </x:c>
      <x:c r="B706" s="37" t="str">
        <x:v>ZAF Shared Platform Foundation</x:v>
      </x:c>
      <x:c r="C706" s="37" t="str">
        <x:v>FAM-25</x:v>
      </x:c>
      <x:c r="D706" s="37" t="str">
        <x:v>Analytics, reporting &amp; decision dashboards</x:v>
      </x:c>
      <x:c r="E706" s="37" t="str">
        <x:v>Must</x:v>
      </x:c>
      <x:c r="F706" s="37" t="str">
        <x:v>Strict-route gate</x:v>
      </x:c>
      <x:c r="G706" s="37" t="str">
        <x:v>ZAF Shared Platform Foundation: Usage metrics, charts, rankings, reporting, and decision support.</x:v>
      </x:c>
      <x:c r="H706" s="38" t="str">
        <x:v>Shared auth/roles, common data boundaries, media vault plan, analytics events, moderation/reporting policy, export conventions.</x:v>
      </x:c>
    </x:row>
    <x:row r="707" ht="48" customHeight="1">
      <x:c r="A707" s="60" t="str">
        <x:v>DOS-039</x:v>
      </x:c>
      <x:c r="B707" s="37" t="str">
        <x:v>ZAF Shared Platform Foundation</x:v>
      </x:c>
      <x:c r="C707" s="37" t="str">
        <x:v>FAM-26</x:v>
      </x:c>
      <x:c r="D707" s="37" t="str">
        <x:v>Admin, CMS &amp; operational management</x:v>
      </x:c>
      <x:c r="E707" s="37" t="str">
        <x:v>Must</x:v>
      </x:c>
      <x:c r="F707" s="37" t="str">
        <x:v>Strict-route gate</x:v>
      </x:c>
      <x:c r="G707" s="37" t="str">
        <x:v>ZAF Shared Platform Foundation: Admin views, content management, operational review, and human overrides.</x:v>
      </x:c>
      <x:c r="H707" s="38" t="str">
        <x:v>Shared auth/roles, common data boundaries, media vault plan, analytics events, moderation/reporting policy, export conventions.</x:v>
      </x:c>
    </x:row>
    <x:row r="708" ht="48" customHeight="1">
      <x:c r="A708" s="60" t="str">
        <x:v>DOS-039</x:v>
      </x:c>
      <x:c r="B708" s="37" t="str">
        <x:v>ZAF Shared Platform Foundation</x:v>
      </x:c>
      <x:c r="C708" s="37" t="str">
        <x:v>FAM-27</x:v>
      </x:c>
      <x:c r="D708" s="37" t="str">
        <x:v>Portability, ownership &amp; escape path</x:v>
      </x:c>
      <x:c r="E708" s="37" t="str">
        <x:v>Must</x:v>
      </x:c>
      <x:c r="F708" s="37" t="str">
        <x:v>Strict-route gate</x:v>
      </x:c>
      <x:c r="G708" s="37" t="str">
        <x:v>ZAF Shared Platform Foundation: Code/data export, GitHub, custom domains, migration, and lock-in control.</x:v>
      </x:c>
      <x:c r="H708" s="38" t="str">
        <x:v>Shared auth/roles, common data boundaries, media vault plan, analytics events, moderation/reporting policy, export conventions.</x:v>
      </x:c>
    </x:row>
    <x:row r="709" ht="48" customHeight="1">
      <x:c r="A709" s="60" t="str">
        <x:v>DOS-039</x:v>
      </x:c>
      <x:c r="B709" s="37" t="str">
        <x:v>ZAF Shared Platform Foundation</x:v>
      </x:c>
      <x:c r="C709" s="37" t="str">
        <x:v>FAM-35</x:v>
      </x:c>
      <x:c r="D709" s="37" t="str">
        <x:v>Privacy, consent &amp; audit trail</x:v>
      </x:c>
      <x:c r="E709" s="37" t="str">
        <x:v>Must</x:v>
      </x:c>
      <x:c r="F709" s="37" t="str">
        <x:v>Strict-route gate</x:v>
      </x:c>
      <x:c r="G709" s="37" t="str">
        <x:v>ZAF Shared Platform Foundation: Consent, retention, access controls, provenance, and auditable actions.</x:v>
      </x:c>
      <x:c r="H709" s="38" t="str">
        <x:v>Shared auth/roles, common data boundaries, media vault plan, analytics events, moderation/reporting policy, export conventions.</x:v>
      </x:c>
    </x:row>
    <x:row r="710" ht="48" customHeight="1">
      <x:c r="A710" s="60" t="str">
        <x:v>DOS-039</x:v>
      </x:c>
      <x:c r="B710" s="37" t="str">
        <x:v>ZAF Shared Platform Foundation</x:v>
      </x:c>
      <x:c r="C710" s="37" t="str">
        <x:v>FAM-02</x:v>
      </x:c>
      <x:c r="D710" s="37" t="str">
        <x:v>Android/mobile builder workability</x:v>
      </x:c>
      <x:c r="E710" s="37" t="str">
        <x:v>Important</x:v>
      </x:c>
      <x:c r="F710" s="37" t="str">
        <x:v>Score after gates</x:v>
      </x:c>
      <x:c r="G710" s="37" t="str">
        <x:v>ZAF Shared Platform Foundation: Derek can build, edit, preview, test, and deploy with reasonable Android/mobile friction.</x:v>
      </x:c>
      <x:c r="H710" s="38" t="str">
        <x:v>Begin with a simple written/data contract and reuse a managed backend; defer premature unified infrastructure.</x:v>
      </x:c>
    </x:row>
    <x:row r="711" ht="48" customHeight="1">
      <x:c r="A711" s="60" t="str">
        <x:v>DOS-039</x:v>
      </x:c>
      <x:c r="B711" s="37" t="str">
        <x:v>ZAF Shared Platform Foundation</x:v>
      </x:c>
      <x:c r="C711" s="37" t="str">
        <x:v>FAM-03</x:v>
      </x:c>
      <x:c r="D711" s="37" t="str">
        <x:v>Authentication, identity &amp; roles</x:v>
      </x:c>
      <x:c r="E711" s="37" t="str">
        <x:v>Important</x:v>
      </x:c>
      <x:c r="F711" s="37" t="str">
        <x:v>Score after gates</x:v>
      </x:c>
      <x:c r="G711" s="37" t="str">
        <x:v>ZAF Shared Platform Foundation: Sign-in, role-aware access, member identity, and permissions.</x:v>
      </x:c>
      <x:c r="H711" s="38" t="str">
        <x:v>Begin with a simple written/data contract and reuse a managed backend; defer premature unified infrastructure.</x:v>
      </x:c>
    </x:row>
    <x:row r="712" ht="48" customHeight="1">
      <x:c r="A712" s="60" t="str">
        <x:v>DOS-039</x:v>
      </x:c>
      <x:c r="B712" s="37" t="str">
        <x:v>ZAF Shared Platform Foundation</x:v>
      </x:c>
      <x:c r="C712" s="37" t="str">
        <x:v>FAM-12</x:v>
      </x:c>
      <x:c r="D712" s="37" t="str">
        <x:v>AI text generation, analysis &amp; agents</x:v>
      </x:c>
      <x:c r="E712" s="37" t="str">
        <x:v>Important</x:v>
      </x:c>
      <x:c r="F712" s="37" t="str">
        <x:v>Score after gates</x:v>
      </x:c>
      <x:c r="G712" s="37" t="str">
        <x:v>ZAF Shared Platform Foundation: Prompted generation, classification, summarization, reasoning, or assistant behavior.</x:v>
      </x:c>
      <x:c r="H712" s="38" t="str">
        <x:v>Begin with a simple written/data contract and reuse a managed backend; defer premature unified infrastructure.</x:v>
      </x:c>
    </x:row>
    <x:row r="713" ht="48" customHeight="1">
      <x:c r="A713" s="60" t="str">
        <x:v>DOS-039</x:v>
      </x:c>
      <x:c r="B713" s="37" t="str">
        <x:v>ZAF Shared Platform Foundation</x:v>
      </x:c>
      <x:c r="C713" s="37" t="str">
        <x:v>FAM-14</x:v>
      </x:c>
      <x:c r="D713" s="37" t="str">
        <x:v>Personalization, memory &amp; preferences</x:v>
      </x:c>
      <x:c r="E713" s="37" t="str">
        <x:v>Important</x:v>
      </x:c>
      <x:c r="F713" s="37" t="str">
        <x:v>Score after gates</x:v>
      </x:c>
      <x:c r="G713" s="37" t="str">
        <x:v>ZAF Shared Platform Foundation: Saved preferences, history, source memory, and adaptive outputs.</x:v>
      </x:c>
      <x:c r="H713" s="38" t="str">
        <x:v>Begin with a simple written/data contract and reuse a managed backend; defer premature unified infrastructure.</x:v>
      </x:c>
    </x:row>
    <x:row r="714" ht="48" customHeight="1">
      <x:c r="A714" s="60" t="str">
        <x:v>DOS-039</x:v>
      </x:c>
      <x:c r="B714" s="37" t="str">
        <x:v>ZAF Shared Platform Foundation</x:v>
      </x:c>
      <x:c r="C714" s="37" t="str">
        <x:v>FAM-20</x:v>
      </x:c>
      <x:c r="D714" s="37" t="str">
        <x:v>Notifications, reminders &amp; deadlines</x:v>
      </x:c>
      <x:c r="E714" s="37" t="str">
        <x:v>Important</x:v>
      </x:c>
      <x:c r="F714" s="37" t="str">
        <x:v>Score after gates</x:v>
      </x:c>
      <x:c r="G714" s="37" t="str">
        <x:v>ZAF Shared Platform Foundation: Push/email/in-app reminders, scheduled tasks, and time-bound flows.</x:v>
      </x:c>
      <x:c r="H714" s="38" t="str">
        <x:v>Begin with a simple written/data contract and reuse a managed backend; defer premature unified infrastructure.</x:v>
      </x:c>
    </x:row>
    <x:row r="715" ht="48" customHeight="1">
      <x:c r="A715" s="60" t="str">
        <x:v>DOS-039</x:v>
      </x:c>
      <x:c r="B715" s="37" t="str">
        <x:v>ZAF Shared Platform Foundation</x:v>
      </x:c>
      <x:c r="C715" s="37" t="str">
        <x:v>FAM-21</x:v>
      </x:c>
      <x:c r="D715" s="37" t="str">
        <x:v>Automations, webhooks &amp; scheduled jobs</x:v>
      </x:c>
      <x:c r="E715" s="37" t="str">
        <x:v>Important</x:v>
      </x:c>
      <x:c r="F715" s="37" t="str">
        <x:v>Score after gates</x:v>
      </x:c>
      <x:c r="G715" s="37" t="str">
        <x:v>ZAF Shared Platform Foundation: Event-driven workflows, scheduled tasks, background processes, and webhooks.</x:v>
      </x:c>
      <x:c r="H715" s="38" t="str">
        <x:v>Begin with a simple written/data contract and reuse a managed backend; defer premature unified infrastructure.</x:v>
      </x:c>
    </x:row>
    <x:row r="716" ht="48" customHeight="1">
      <x:c r="A716" s="60" t="str">
        <x:v>DOS-039</x:v>
      </x:c>
      <x:c r="B716" s="37" t="str">
        <x:v>ZAF Shared Platform Foundation</x:v>
      </x:c>
      <x:c r="C716" s="37" t="str">
        <x:v>FAM-24</x:v>
      </x:c>
      <x:c r="D716" s="37" t="str">
        <x:v>Export, publishing &amp; share routes</x:v>
      </x:c>
      <x:c r="E716" s="37" t="str">
        <x:v>Important</x:v>
      </x:c>
      <x:c r="F716" s="37" t="str">
        <x:v>Score after gates</x:v>
      </x:c>
      <x:c r="G716" s="37" t="str">
        <x:v>ZAF Shared Platform Foundation: Download/export, social publishing, share links, and portable output packages.</x:v>
      </x:c>
      <x:c r="H716" s="38" t="str">
        <x:v>Begin with a simple written/data contract and reuse a managed backend; defer premature unified infrastructure.</x:v>
      </x:c>
    </x:row>
    <x:row r="717" ht="48" customHeight="1">
      <x:c r="A717" s="60" t="str">
        <x:v>DOS-039</x:v>
      </x:c>
      <x:c r="B717" s="37" t="str">
        <x:v>ZAF Shared Platform Foundation</x:v>
      </x:c>
      <x:c r="C717" s="37" t="str">
        <x:v>FAM-29</x:v>
      </x:c>
      <x:c r="D717" s="37" t="str">
        <x:v>Backend functions, APIs &amp; background compute</x:v>
      </x:c>
      <x:c r="E717" s="37" t="str">
        <x:v>Important</x:v>
      </x:c>
      <x:c r="F717" s="37" t="str">
        <x:v>Score after gates</x:v>
      </x:c>
      <x:c r="G717" s="37" t="str">
        <x:v>ZAF Shared Platform Foundation: Server functions, secure APIs, logs, queues, scheduled tasks, and secrets.</x:v>
      </x:c>
      <x:c r="H717" s="38" t="str">
        <x:v>Begin with a simple written/data contract and reuse a managed backend; defer premature unified infrastructure.</x:v>
      </x:c>
    </x:row>
    <x:row r="718" ht="48" customHeight="1">
      <x:c r="A718" s="60" t="str">
        <x:v>DOS-039</x:v>
      </x:c>
      <x:c r="B718" s="37" t="str">
        <x:v>ZAF Shared Platform Foundation</x:v>
      </x:c>
      <x:c r="C718" s="37" t="str">
        <x:v>FAM-36</x:v>
      </x:c>
      <x:c r="D718" s="37" t="str">
        <x:v>Scoring, ranking &amp; matching logic</x:v>
      </x:c>
      <x:c r="E718" s="37" t="str">
        <x:v>Important</x:v>
      </x:c>
      <x:c r="F718" s="37" t="str">
        <x:v>Score after gates</x:v>
      </x:c>
      <x:c r="G718" s="37" t="str">
        <x:v>ZAF Shared Platform Foundation: Transparent scorecards, requirements matching, routes, and tie-break explanations.</x:v>
      </x:c>
      <x:c r="H718" s="38" t="str">
        <x:v>Begin with a simple written/data contract and reuse a managed backend; defer premature unified infrastructure.</x:v>
      </x:c>
    </x:row>
    <x:row r="719" ht="48" customHeight="1">
      <x:c r="A719" s="60" t="str">
        <x:v>DOS-039</x:v>
      </x:c>
      <x:c r="B719" s="37" t="str">
        <x:v>ZAF Shared Platform Foundation</x:v>
      </x:c>
      <x:c r="C719" s="37" t="str">
        <x:v>FAM-15</x:v>
      </x:c>
      <x:c r="D719" s="37" t="str">
        <x:v>Social, realtime &amp; collaboration</x:v>
      </x:c>
      <x:c r="E719" s="37" t="str">
        <x:v>Expansion</x:v>
      </x:c>
      <x:c r="F719" s="37" t="str">
        <x:v>Flexible / later only</x:v>
      </x:c>
      <x:c r="G719" s="37" t="str">
        <x:v>ZAF Shared Platform Foundation: Feeds, messaging, groups, sharing, realtime updates, or multi-user creation.</x:v>
      </x:c>
      <x:c r="H719" s="38" t="str">
        <x:v>Federated products, shared loyalty, creator assets, migration toolkit.</x:v>
      </x:c>
    </x:row>
    <x:row r="720" ht="48" customHeight="1">
      <x:c r="A720" s="60" t="str">
        <x:v>DOS-039</x:v>
      </x:c>
      <x:c r="B720" s="37" t="str">
        <x:v>ZAF Shared Platform Foundation</x:v>
      </x:c>
      <x:c r="C720" s="37" t="str">
        <x:v>FAM-31</x:v>
      </x:c>
      <x:c r="D720" s="37" t="str">
        <x:v>Teams, co-creation &amp; permissions</x:v>
      </x:c>
      <x:c r="E720" s="37" t="str">
        <x:v>Expansion</x:v>
      </x:c>
      <x:c r="F720" s="37" t="str">
        <x:v>Flexible / later only</x:v>
      </x:c>
      <x:c r="G720" s="37" t="str">
        <x:v>ZAF Shared Platform Foundation: Multi-person workspaces, collaboration, ownership boundaries, and team roles.</x:v>
      </x:c>
      <x:c r="H720" s="38" t="str">
        <x:v>Federated products, shared loyalty, creator assets, migration toolkit.</x:v>
      </x:c>
    </x:row>
    <x:row r="721" ht="48" customHeight="1">
      <x:c r="A721" s="60" t="str">
        <x:v>DOS-039</x:v>
      </x:c>
      <x:c r="B721" s="37" t="str">
        <x:v>ZAF Shared Platform Foundation</x:v>
      </x:c>
      <x:c r="C721" s="37" t="str">
        <x:v>FAM-32</x:v>
      </x:c>
      <x:c r="D721" s="37" t="str">
        <x:v>Marketplace, templates &amp; creator assets</x:v>
      </x:c>
      <x:c r="E721" s="37" t="str">
        <x:v>Expansion</x:v>
      </x:c>
      <x:c r="F721" s="37" t="str">
        <x:v>Flexible / later only</x:v>
      </x:c>
      <x:c r="G721" s="37" t="str">
        <x:v>ZAF Shared Platform Foundation: Listings, reusable assets, creator publishing, reviews, and marketplace rules.</x:v>
      </x:c>
      <x:c r="H721" s="38" t="str">
        <x:v>Federated products, shared loyalty, creator assets, migration toolkit.</x:v>
      </x:c>
    </x:row>
    <x:row r="722" ht="48" customHeight="1">
      <x:c r="A722" s="60" t="str">
        <x:v>DOS-039</x:v>
      </x:c>
      <x:c r="B722" s="37" t="str">
        <x:v>ZAF Shared Platform Foundation</x:v>
      </x:c>
      <x:c r="C722" s="37" t="str">
        <x:v>FAM-37</x:v>
      </x:c>
      <x:c r="D722" s="37" t="str">
        <x:v>Gamification, challenges &amp; progression</x:v>
      </x:c>
      <x:c r="E722" s="37" t="str">
        <x:v>Expansion</x:v>
      </x:c>
      <x:c r="F722" s="37" t="str">
        <x:v>Flexible / later only</x:v>
      </x:c>
      <x:c r="G722" s="37" t="str">
        <x:v>ZAF Shared Platform Foundation: Challenges, points, levels, voting, collection, and progress systems.</x:v>
      </x:c>
      <x:c r="H722" s="38" t="str">
        <x:v>Federated products, shared loyalty, creator assets, migration toolkit.</x:v>
      </x:c>
    </x:row>
    <x:row r="723" ht="48" customHeight="1">
      <x:c r="A723" s="60" t="str">
        <x:v>DOS-040</x:v>
      </x:c>
      <x:c r="B723" s="37" t="str">
        <x:v>ZAF Master Vault &amp; Compiler</x:v>
      </x:c>
      <x:c r="C723" s="37" t="str">
        <x:v>FAM-01</x:v>
      </x:c>
      <x:c r="D723" s="37" t="str">
        <x:v>Responsive web / PWA interface</x:v>
      </x:c>
      <x:c r="E723" s="37" t="str">
        <x:v>Must</x:v>
      </x:c>
      <x:c r="F723" s="37" t="str">
        <x:v>Strict-route gate</x:v>
      </x:c>
      <x:c r="G723" s="37" t="str">
        <x:v>ZAF Master Vault &amp; Compiler: Mobile-first responsive screens and app-like web navigation.</x:v>
      </x:c>
      <x:c r="H723" s="38" t="str">
        <x:v>Project register, source ledger, source packet intake, search/filter, decision links, durable export.</x:v>
      </x:c>
    </x:row>
    <x:row r="724" ht="48" customHeight="1">
      <x:c r="A724" s="60" t="str">
        <x:v>DOS-040</x:v>
      </x:c>
      <x:c r="B724" s="37" t="str">
        <x:v>ZAF Master Vault &amp; Compiler</x:v>
      </x:c>
      <x:c r="C724" s="37" t="str">
        <x:v>FAM-05</x:v>
      </x:c>
      <x:c r="D724" s="37" t="str">
        <x:v>Structured database &amp; persistent records</x:v>
      </x:c>
      <x:c r="E724" s="37" t="str">
        <x:v>Must</x:v>
      </x:c>
      <x:c r="F724" s="37" t="str">
        <x:v>Strict-route gate</x:v>
      </x:c>
      <x:c r="G724" s="37" t="str">
        <x:v>ZAF Master Vault &amp; Compiler: Reliable structured data storage, retrieval, and updates.</x:v>
      </x:c>
      <x:c r="H724" s="38" t="str">
        <x:v>Project register, source ledger, source packet intake, search/filter, decision links, durable export.</x:v>
      </x:c>
    </x:row>
    <x:row r="725" ht="48" customHeight="1">
      <x:c r="A725" s="60" t="str">
        <x:v>DOS-040</x:v>
      </x:c>
      <x:c r="B725" s="37" t="str">
        <x:v>ZAF Master Vault &amp; Compiler</x:v>
      </x:c>
      <x:c r="C725" s="37" t="str">
        <x:v>FAM-06</x:v>
      </x:c>
      <x:c r="D725" s="37" t="str">
        <x:v>Search, filters, lists &amp; directories</x:v>
      </x:c>
      <x:c r="E725" s="37" t="str">
        <x:v>Must</x:v>
      </x:c>
      <x:c r="F725" s="37" t="str">
        <x:v>Strict-route gate</x:v>
      </x:c>
      <x:c r="G725" s="37" t="str">
        <x:v>ZAF Master Vault &amp; Compiler: Searchable libraries, member lists, catalog browsing, and filtered views.</x:v>
      </x:c>
      <x:c r="H725" s="38" t="str">
        <x:v>Project register, source ledger, source packet intake, search/filter, decision links, durable export.</x:v>
      </x:c>
    </x:row>
    <x:row r="726" ht="48" customHeight="1">
      <x:c r="A726" s="60" t="str">
        <x:v>DOS-040</x:v>
      </x:c>
      <x:c r="B726" s="37" t="str">
        <x:v>ZAF Master Vault &amp; Compiler</x:v>
      </x:c>
      <x:c r="C726" s="37" t="str">
        <x:v>FAM-25</x:v>
      </x:c>
      <x:c r="D726" s="37" t="str">
        <x:v>Analytics, reporting &amp; decision dashboards</x:v>
      </x:c>
      <x:c r="E726" s="37" t="str">
        <x:v>Must</x:v>
      </x:c>
      <x:c r="F726" s="37" t="str">
        <x:v>Strict-route gate</x:v>
      </x:c>
      <x:c r="G726" s="37" t="str">
        <x:v>ZAF Master Vault &amp; Compiler: Usage metrics, charts, rankings, reporting, and decision support.</x:v>
      </x:c>
      <x:c r="H726" s="38" t="str">
        <x:v>Project register, source ledger, source packet intake, search/filter, decision links, durable export.</x:v>
      </x:c>
    </x:row>
    <x:row r="727" ht="48" customHeight="1">
      <x:c r="A727" s="60" t="str">
        <x:v>DOS-040</x:v>
      </x:c>
      <x:c r="B727" s="37" t="str">
        <x:v>ZAF Master Vault &amp; Compiler</x:v>
      </x:c>
      <x:c r="C727" s="37" t="str">
        <x:v>FAM-26</x:v>
      </x:c>
      <x:c r="D727" s="37" t="str">
        <x:v>Admin, CMS &amp; operational management</x:v>
      </x:c>
      <x:c r="E727" s="37" t="str">
        <x:v>Must</x:v>
      </x:c>
      <x:c r="F727" s="37" t="str">
        <x:v>Strict-route gate</x:v>
      </x:c>
      <x:c r="G727" s="37" t="str">
        <x:v>ZAF Master Vault &amp; Compiler: Admin views, content management, operational review, and human overrides.</x:v>
      </x:c>
      <x:c r="H727" s="38" t="str">
        <x:v>Project register, source ledger, source packet intake, search/filter, decision links, durable export.</x:v>
      </x:c>
    </x:row>
    <x:row r="728" ht="48" customHeight="1">
      <x:c r="A728" s="60" t="str">
        <x:v>DOS-040</x:v>
      </x:c>
      <x:c r="B728" s="37" t="str">
        <x:v>ZAF Master Vault &amp; Compiler</x:v>
      </x:c>
      <x:c r="C728" s="37" t="str">
        <x:v>FAM-27</x:v>
      </x:c>
      <x:c r="D728" s="37" t="str">
        <x:v>Portability, ownership &amp; escape path</x:v>
      </x:c>
      <x:c r="E728" s="37" t="str">
        <x:v>Must</x:v>
      </x:c>
      <x:c r="F728" s="37" t="str">
        <x:v>Strict-route gate</x:v>
      </x:c>
      <x:c r="G728" s="37" t="str">
        <x:v>ZAF Master Vault &amp; Compiler: Code/data export, GitHub, custom domains, migration, and lock-in control.</x:v>
      </x:c>
      <x:c r="H728" s="38" t="str">
        <x:v>Project register, source ledger, source packet intake, search/filter, decision links, durable export.</x:v>
      </x:c>
    </x:row>
    <x:row r="729" ht="48" customHeight="1">
      <x:c r="A729" s="60" t="str">
        <x:v>DOS-040</x:v>
      </x:c>
      <x:c r="B729" s="37" t="str">
        <x:v>ZAF Master Vault &amp; Compiler</x:v>
      </x:c>
      <x:c r="C729" s="37" t="str">
        <x:v>FAM-35</x:v>
      </x:c>
      <x:c r="D729" s="37" t="str">
        <x:v>Privacy, consent &amp; audit trail</x:v>
      </x:c>
      <x:c r="E729" s="37" t="str">
        <x:v>Must</x:v>
      </x:c>
      <x:c r="F729" s="37" t="str">
        <x:v>Strict-route gate</x:v>
      </x:c>
      <x:c r="G729" s="37" t="str">
        <x:v>ZAF Master Vault &amp; Compiler: Consent, retention, access controls, provenance, and auditable actions.</x:v>
      </x:c>
      <x:c r="H729" s="38" t="str">
        <x:v>Project register, source ledger, source packet intake, search/filter, decision links, durable export.</x:v>
      </x:c>
    </x:row>
    <x:row r="730" ht="48" customHeight="1">
      <x:c r="A730" s="60" t="str">
        <x:v>DOS-040</x:v>
      </x:c>
      <x:c r="B730" s="37" t="str">
        <x:v>ZAF Master Vault &amp; Compiler</x:v>
      </x:c>
      <x:c r="C730" s="37" t="str">
        <x:v>FAM-02</x:v>
      </x:c>
      <x:c r="D730" s="37" t="str">
        <x:v>Android/mobile builder workability</x:v>
      </x:c>
      <x:c r="E730" s="37" t="str">
        <x:v>Important</x:v>
      </x:c>
      <x:c r="F730" s="37" t="str">
        <x:v>Score after gates</x:v>
      </x:c>
      <x:c r="G730" s="37" t="str">
        <x:v>ZAF Master Vault &amp; Compiler: Derek can build, edit, preview, test, and deploy with reasonable Android/mobile friction.</x:v>
      </x:c>
      <x:c r="H730" s="38" t="str">
        <x:v>Use spreadsheet/knowledge base first; defer full custom intelligence interface.</x:v>
      </x:c>
    </x:row>
    <x:row r="731" ht="48" customHeight="1">
      <x:c r="A731" s="60" t="str">
        <x:v>DOS-040</x:v>
      </x:c>
      <x:c r="B731" s="37" t="str">
        <x:v>ZAF Master Vault &amp; Compiler</x:v>
      </x:c>
      <x:c r="C731" s="37" t="str">
        <x:v>FAM-03</x:v>
      </x:c>
      <x:c r="D731" s="37" t="str">
        <x:v>Authentication, identity &amp; roles</x:v>
      </x:c>
      <x:c r="E731" s="37" t="str">
        <x:v>Important</x:v>
      </x:c>
      <x:c r="F731" s="37" t="str">
        <x:v>Score after gates</x:v>
      </x:c>
      <x:c r="G731" s="37" t="str">
        <x:v>ZAF Master Vault &amp; Compiler: Sign-in, role-aware access, member identity, and permissions.</x:v>
      </x:c>
      <x:c r="H731" s="38" t="str">
        <x:v>Use spreadsheet/knowledge base first; defer full custom intelligence interface.</x:v>
      </x:c>
    </x:row>
    <x:row r="732" ht="48" customHeight="1">
      <x:c r="A732" s="60" t="str">
        <x:v>DOS-040</x:v>
      </x:c>
      <x:c r="B732" s="37" t="str">
        <x:v>ZAF Master Vault &amp; Compiler</x:v>
      </x:c>
      <x:c r="C732" s="37" t="str">
        <x:v>FAM-12</x:v>
      </x:c>
      <x:c r="D732" s="37" t="str">
        <x:v>AI text generation, analysis &amp; agents</x:v>
      </x:c>
      <x:c r="E732" s="37" t="str">
        <x:v>Important</x:v>
      </x:c>
      <x:c r="F732" s="37" t="str">
        <x:v>Score after gates</x:v>
      </x:c>
      <x:c r="G732" s="37" t="str">
        <x:v>ZAF Master Vault &amp; Compiler: Prompted generation, classification, summarization, reasoning, or assistant behavior.</x:v>
      </x:c>
      <x:c r="H732" s="38" t="str">
        <x:v>Use spreadsheet/knowledge base first; defer full custom intelligence interface.</x:v>
      </x:c>
    </x:row>
    <x:row r="733" ht="48" customHeight="1">
      <x:c r="A733" s="60" t="str">
        <x:v>DOS-040</x:v>
      </x:c>
      <x:c r="B733" s="37" t="str">
        <x:v>ZAF Master Vault &amp; Compiler</x:v>
      </x:c>
      <x:c r="C733" s="37" t="str">
        <x:v>FAM-14</x:v>
      </x:c>
      <x:c r="D733" s="37" t="str">
        <x:v>Personalization, memory &amp; preferences</x:v>
      </x:c>
      <x:c r="E733" s="37" t="str">
        <x:v>Important</x:v>
      </x:c>
      <x:c r="F733" s="37" t="str">
        <x:v>Score after gates</x:v>
      </x:c>
      <x:c r="G733" s="37" t="str">
        <x:v>ZAF Master Vault &amp; Compiler: Saved preferences, history, source memory, and adaptive outputs.</x:v>
      </x:c>
      <x:c r="H733" s="38" t="str">
        <x:v>Use spreadsheet/knowledge base first; defer full custom intelligence interface.</x:v>
      </x:c>
    </x:row>
    <x:row r="734" ht="48" customHeight="1">
      <x:c r="A734" s="60" t="str">
        <x:v>DOS-040</x:v>
      </x:c>
      <x:c r="B734" s="37" t="str">
        <x:v>ZAF Master Vault &amp; Compiler</x:v>
      </x:c>
      <x:c r="C734" s="37" t="str">
        <x:v>FAM-20</x:v>
      </x:c>
      <x:c r="D734" s="37" t="str">
        <x:v>Notifications, reminders &amp; deadlines</x:v>
      </x:c>
      <x:c r="E734" s="37" t="str">
        <x:v>Important</x:v>
      </x:c>
      <x:c r="F734" s="37" t="str">
        <x:v>Score after gates</x:v>
      </x:c>
      <x:c r="G734" s="37" t="str">
        <x:v>ZAF Master Vault &amp; Compiler: Push/email/in-app reminders, scheduled tasks, and time-bound flows.</x:v>
      </x:c>
      <x:c r="H734" s="38" t="str">
        <x:v>Use spreadsheet/knowledge base first; defer full custom intelligence interface.</x:v>
      </x:c>
    </x:row>
    <x:row r="735" ht="48" customHeight="1">
      <x:c r="A735" s="60" t="str">
        <x:v>DOS-040</x:v>
      </x:c>
      <x:c r="B735" s="37" t="str">
        <x:v>ZAF Master Vault &amp; Compiler</x:v>
      </x:c>
      <x:c r="C735" s="37" t="str">
        <x:v>FAM-21</x:v>
      </x:c>
      <x:c r="D735" s="37" t="str">
        <x:v>Automations, webhooks &amp; scheduled jobs</x:v>
      </x:c>
      <x:c r="E735" s="37" t="str">
        <x:v>Important</x:v>
      </x:c>
      <x:c r="F735" s="37" t="str">
        <x:v>Score after gates</x:v>
      </x:c>
      <x:c r="G735" s="37" t="str">
        <x:v>ZAF Master Vault &amp; Compiler: Event-driven workflows, scheduled tasks, background processes, and webhooks.</x:v>
      </x:c>
      <x:c r="H735" s="38" t="str">
        <x:v>Use spreadsheet/knowledge base first; defer full custom intelligence interface.</x:v>
      </x:c>
    </x:row>
    <x:row r="736" ht="48" customHeight="1">
      <x:c r="A736" s="60" t="str">
        <x:v>DOS-040</x:v>
      </x:c>
      <x:c r="B736" s="37" t="str">
        <x:v>ZAF Master Vault &amp; Compiler</x:v>
      </x:c>
      <x:c r="C736" s="37" t="str">
        <x:v>FAM-24</x:v>
      </x:c>
      <x:c r="D736" s="37" t="str">
        <x:v>Export, publishing &amp; share routes</x:v>
      </x:c>
      <x:c r="E736" s="37" t="str">
        <x:v>Important</x:v>
      </x:c>
      <x:c r="F736" s="37" t="str">
        <x:v>Score after gates</x:v>
      </x:c>
      <x:c r="G736" s="37" t="str">
        <x:v>ZAF Master Vault &amp; Compiler: Download/export, social publishing, share links, and portable output packages.</x:v>
      </x:c>
      <x:c r="H736" s="38" t="str">
        <x:v>Use spreadsheet/knowledge base first; defer full custom intelligence interface.</x:v>
      </x:c>
    </x:row>
    <x:row r="737" ht="48" customHeight="1">
      <x:c r="A737" s="60" t="str">
        <x:v>DOS-040</x:v>
      </x:c>
      <x:c r="B737" s="37" t="str">
        <x:v>ZAF Master Vault &amp; Compiler</x:v>
      </x:c>
      <x:c r="C737" s="37" t="str">
        <x:v>FAM-29</x:v>
      </x:c>
      <x:c r="D737" s="37" t="str">
        <x:v>Backend functions, APIs &amp; background compute</x:v>
      </x:c>
      <x:c r="E737" s="37" t="str">
        <x:v>Important</x:v>
      </x:c>
      <x:c r="F737" s="37" t="str">
        <x:v>Score after gates</x:v>
      </x:c>
      <x:c r="G737" s="37" t="str">
        <x:v>ZAF Master Vault &amp; Compiler: Server functions, secure APIs, logs, queues, scheduled tasks, and secrets.</x:v>
      </x:c>
      <x:c r="H737" s="38" t="str">
        <x:v>Use spreadsheet/knowledge base first; defer full custom intelligence interface.</x:v>
      </x:c>
    </x:row>
    <x:row r="738" ht="48" customHeight="1">
      <x:c r="A738" s="60" t="str">
        <x:v>DOS-040</x:v>
      </x:c>
      <x:c r="B738" s="37" t="str">
        <x:v>ZAF Master Vault &amp; Compiler</x:v>
      </x:c>
      <x:c r="C738" s="37" t="str">
        <x:v>FAM-36</x:v>
      </x:c>
      <x:c r="D738" s="37" t="str">
        <x:v>Scoring, ranking &amp; matching logic</x:v>
      </x:c>
      <x:c r="E738" s="37" t="str">
        <x:v>Important</x:v>
      </x:c>
      <x:c r="F738" s="37" t="str">
        <x:v>Score after gates</x:v>
      </x:c>
      <x:c r="G738" s="37" t="str">
        <x:v>ZAF Master Vault &amp; Compiler: Transparent scorecards, requirements matching, routes, and tie-break explanations.</x:v>
      </x:c>
      <x:c r="H738" s="38" t="str">
        <x:v>Use spreadsheet/knowledge base first; defer full custom intelligence interface.</x:v>
      </x:c>
    </x:row>
    <x:row r="739" ht="48" customHeight="1">
      <x:c r="A739" s="60" t="str">
        <x:v>DOS-040</x:v>
      </x:c>
      <x:c r="B739" s="37" t="str">
        <x:v>ZAF Master Vault &amp; Compiler</x:v>
      </x:c>
      <x:c r="C739" s="37" t="str">
        <x:v>FAM-15</x:v>
      </x:c>
      <x:c r="D739" s="37" t="str">
        <x:v>Social, realtime &amp; collaboration</x:v>
      </x:c>
      <x:c r="E739" s="37" t="str">
        <x:v>Expansion</x:v>
      </x:c>
      <x:c r="F739" s="37" t="str">
        <x:v>Flexible / later only</x:v>
      </x:c>
      <x:c r="G739" s="37" t="str">
        <x:v>ZAF Master Vault &amp; Compiler: Feeds, messaging, groups, sharing, realtime updates, or multi-user creation.</x:v>
      </x:c>
      <x:c r="H739" s="38" t="str">
        <x:v>Automated extraction, contradiction detection, graph view, source APIs.</x:v>
      </x:c>
    </x:row>
    <x:row r="740" ht="48" customHeight="1">
      <x:c r="A740" s="60" t="str">
        <x:v>DOS-040</x:v>
      </x:c>
      <x:c r="B740" s="37" t="str">
        <x:v>ZAF Master Vault &amp; Compiler</x:v>
      </x:c>
      <x:c r="C740" s="37" t="str">
        <x:v>FAM-31</x:v>
      </x:c>
      <x:c r="D740" s="37" t="str">
        <x:v>Teams, co-creation &amp; permissions</x:v>
      </x:c>
      <x:c r="E740" s="37" t="str">
        <x:v>Expansion</x:v>
      </x:c>
      <x:c r="F740" s="37" t="str">
        <x:v>Flexible / later only</x:v>
      </x:c>
      <x:c r="G740" s="37" t="str">
        <x:v>ZAF Master Vault &amp; Compiler: Multi-person workspaces, collaboration, ownership boundaries, and team roles.</x:v>
      </x:c>
      <x:c r="H740" s="38" t="str">
        <x:v>Automated extraction, contradiction detection, graph view, source APIs.</x:v>
      </x:c>
    </x:row>
    <x:row r="741" ht="48" customHeight="1">
      <x:c r="A741" s="60" t="str">
        <x:v>DOS-040</x:v>
      </x:c>
      <x:c r="B741" s="37" t="str">
        <x:v>ZAF Master Vault &amp; Compiler</x:v>
      </x:c>
      <x:c r="C741" s="37" t="str">
        <x:v>FAM-32</x:v>
      </x:c>
      <x:c r="D741" s="37" t="str">
        <x:v>Marketplace, templates &amp; creator assets</x:v>
      </x:c>
      <x:c r="E741" s="37" t="str">
        <x:v>Expansion</x:v>
      </x:c>
      <x:c r="F741" s="37" t="str">
        <x:v>Flexible / later only</x:v>
      </x:c>
      <x:c r="G741" s="37" t="str">
        <x:v>ZAF Master Vault &amp; Compiler: Listings, reusable assets, creator publishing, reviews, and marketplace rules.</x:v>
      </x:c>
      <x:c r="H741" s="38" t="str">
        <x:v>Automated extraction, contradiction detection, graph view, source APIs.</x:v>
      </x:c>
    </x:row>
    <x:row r="742" ht="48" customHeight="1">
      <x:c r="A742" s="60" t="str">
        <x:v>DOS-040</x:v>
      </x:c>
      <x:c r="B742" s="37" t="str">
        <x:v>ZAF Master Vault &amp; Compiler</x:v>
      </x:c>
      <x:c r="C742" s="37" t="str">
        <x:v>FAM-37</x:v>
      </x:c>
      <x:c r="D742" s="37" t="str">
        <x:v>Gamification, challenges &amp; progression</x:v>
      </x:c>
      <x:c r="E742" s="37" t="str">
        <x:v>Expansion</x:v>
      </x:c>
      <x:c r="F742" s="37" t="str">
        <x:v>Flexible / later only</x:v>
      </x:c>
      <x:c r="G742" s="37" t="str">
        <x:v>ZAF Master Vault &amp; Compiler: Challenges, points, levels, voting, collection, and progress systems.</x:v>
      </x:c>
      <x:c r="H742" s="38" t="str">
        <x:v>Automated extraction, contradiction detection, graph view, source APIs.</x:v>
      </x:c>
    </x:row>
    <x:row r="743" ht="48" customHeight="1">
      <x:c r="A743" s="60" t="str">
        <x:v>DOS-041</x:v>
      </x:c>
      <x:c r="B743" s="37" t="str">
        <x:v>ZAF Museum &amp; Source Archive</x:v>
      </x:c>
      <x:c r="C743" s="37" t="str">
        <x:v>FAM-01</x:v>
      </x:c>
      <x:c r="D743" s="37" t="str">
        <x:v>Responsive web / PWA interface</x:v>
      </x:c>
      <x:c r="E743" s="37" t="str">
        <x:v>Must</x:v>
      </x:c>
      <x:c r="F743" s="37" t="str">
        <x:v>Strict-route gate</x:v>
      </x:c>
      <x:c r="G743" s="37" t="str">
        <x:v>ZAF Museum &amp; Source Archive: Mobile-first responsive screens and app-like web navigation.</x:v>
      </x:c>
      <x:c r="H743" s="38" t="str">
        <x:v>Archive taxonomy, source references, status/canonicality, timelines, retrieval/export.</x:v>
      </x:c>
    </x:row>
    <x:row r="744" ht="48" customHeight="1">
      <x:c r="A744" s="60" t="str">
        <x:v>DOS-041</x:v>
      </x:c>
      <x:c r="B744" s="37" t="str">
        <x:v>ZAF Museum &amp; Source Archive</x:v>
      </x:c>
      <x:c r="C744" s="37" t="str">
        <x:v>FAM-05</x:v>
      </x:c>
      <x:c r="D744" s="37" t="str">
        <x:v>Structured database &amp; persistent records</x:v>
      </x:c>
      <x:c r="E744" s="37" t="str">
        <x:v>Must</x:v>
      </x:c>
      <x:c r="F744" s="37" t="str">
        <x:v>Strict-route gate</x:v>
      </x:c>
      <x:c r="G744" s="37" t="str">
        <x:v>ZAF Museum &amp; Source Archive: Reliable structured data storage, retrieval, and updates.</x:v>
      </x:c>
      <x:c r="H744" s="38" t="str">
        <x:v>Archive taxonomy, source references, status/canonicality, timelines, retrieval/export.</x:v>
      </x:c>
    </x:row>
    <x:row r="745" ht="48" customHeight="1">
      <x:c r="A745" s="60" t="str">
        <x:v>DOS-041</x:v>
      </x:c>
      <x:c r="B745" s="37" t="str">
        <x:v>ZAF Museum &amp; Source Archive</x:v>
      </x:c>
      <x:c r="C745" s="37" t="str">
        <x:v>FAM-06</x:v>
      </x:c>
      <x:c r="D745" s="37" t="str">
        <x:v>Search, filters, lists &amp; directories</x:v>
      </x:c>
      <x:c r="E745" s="37" t="str">
        <x:v>Must</x:v>
      </x:c>
      <x:c r="F745" s="37" t="str">
        <x:v>Strict-route gate</x:v>
      </x:c>
      <x:c r="G745" s="37" t="str">
        <x:v>ZAF Museum &amp; Source Archive: Searchable libraries, member lists, catalog browsing, and filtered views.</x:v>
      </x:c>
      <x:c r="H745" s="38" t="str">
        <x:v>Archive taxonomy, source references, status/canonicality, timelines, retrieval/export.</x:v>
      </x:c>
    </x:row>
    <x:row r="746" ht="48" customHeight="1">
      <x:c r="A746" s="60" t="str">
        <x:v>DOS-041</x:v>
      </x:c>
      <x:c r="B746" s="37" t="str">
        <x:v>ZAF Museum &amp; Source Archive</x:v>
      </x:c>
      <x:c r="C746" s="37" t="str">
        <x:v>FAM-25</x:v>
      </x:c>
      <x:c r="D746" s="37" t="str">
        <x:v>Analytics, reporting &amp; decision dashboards</x:v>
      </x:c>
      <x:c r="E746" s="37" t="str">
        <x:v>Must</x:v>
      </x:c>
      <x:c r="F746" s="37" t="str">
        <x:v>Strict-route gate</x:v>
      </x:c>
      <x:c r="G746" s="37" t="str">
        <x:v>ZAF Museum &amp; Source Archive: Usage metrics, charts, rankings, reporting, and decision support.</x:v>
      </x:c>
      <x:c r="H746" s="38" t="str">
        <x:v>Archive taxonomy, source references, status/canonicality, timelines, retrieval/export.</x:v>
      </x:c>
    </x:row>
    <x:row r="747" ht="48" customHeight="1">
      <x:c r="A747" s="60" t="str">
        <x:v>DOS-041</x:v>
      </x:c>
      <x:c r="B747" s="37" t="str">
        <x:v>ZAF Museum &amp; Source Archive</x:v>
      </x:c>
      <x:c r="C747" s="37" t="str">
        <x:v>FAM-26</x:v>
      </x:c>
      <x:c r="D747" s="37" t="str">
        <x:v>Admin, CMS &amp; operational management</x:v>
      </x:c>
      <x:c r="E747" s="37" t="str">
        <x:v>Must</x:v>
      </x:c>
      <x:c r="F747" s="37" t="str">
        <x:v>Strict-route gate</x:v>
      </x:c>
      <x:c r="G747" s="37" t="str">
        <x:v>ZAF Museum &amp; Source Archive: Admin views, content management, operational review, and human overrides.</x:v>
      </x:c>
      <x:c r="H747" s="38" t="str">
        <x:v>Archive taxonomy, source references, status/canonicality, timelines, retrieval/export.</x:v>
      </x:c>
    </x:row>
    <x:row r="748" ht="48" customHeight="1">
      <x:c r="A748" s="60" t="str">
        <x:v>DOS-041</x:v>
      </x:c>
      <x:c r="B748" s="37" t="str">
        <x:v>ZAF Museum &amp; Source Archive</x:v>
      </x:c>
      <x:c r="C748" s="37" t="str">
        <x:v>FAM-27</x:v>
      </x:c>
      <x:c r="D748" s="37" t="str">
        <x:v>Portability, ownership &amp; escape path</x:v>
      </x:c>
      <x:c r="E748" s="37" t="str">
        <x:v>Must</x:v>
      </x:c>
      <x:c r="F748" s="37" t="str">
        <x:v>Strict-route gate</x:v>
      </x:c>
      <x:c r="G748" s="37" t="str">
        <x:v>ZAF Museum &amp; Source Archive: Code/data export, GitHub, custom domains, migration, and lock-in control.</x:v>
      </x:c>
      <x:c r="H748" s="38" t="str">
        <x:v>Archive taxonomy, source references, status/canonicality, timelines, retrieval/export.</x:v>
      </x:c>
    </x:row>
    <x:row r="749" ht="48" customHeight="1">
      <x:c r="A749" s="60" t="str">
        <x:v>DOS-041</x:v>
      </x:c>
      <x:c r="B749" s="37" t="str">
        <x:v>ZAF Museum &amp; Source Archive</x:v>
      </x:c>
      <x:c r="C749" s="37" t="str">
        <x:v>FAM-35</x:v>
      </x:c>
      <x:c r="D749" s="37" t="str">
        <x:v>Privacy, consent &amp; audit trail</x:v>
      </x:c>
      <x:c r="E749" s="37" t="str">
        <x:v>Must</x:v>
      </x:c>
      <x:c r="F749" s="37" t="str">
        <x:v>Strict-route gate</x:v>
      </x:c>
      <x:c r="G749" s="37" t="str">
        <x:v>ZAF Museum &amp; Source Archive: Consent, retention, access controls, provenance, and auditable actions.</x:v>
      </x:c>
      <x:c r="H749" s="38" t="str">
        <x:v>Archive taxonomy, source references, status/canonicality, timelines, retrieval/export.</x:v>
      </x:c>
    </x:row>
    <x:row r="750" ht="48" customHeight="1">
      <x:c r="A750" s="60" t="str">
        <x:v>DOS-041</x:v>
      </x:c>
      <x:c r="B750" s="37" t="str">
        <x:v>ZAF Museum &amp; Source Archive</x:v>
      </x:c>
      <x:c r="C750" s="37" t="str">
        <x:v>FAM-02</x:v>
      </x:c>
      <x:c r="D750" s="37" t="str">
        <x:v>Android/mobile builder workability</x:v>
      </x:c>
      <x:c r="E750" s="37" t="str">
        <x:v>Important</x:v>
      </x:c>
      <x:c r="F750" s="37" t="str">
        <x:v>Score after gates</x:v>
      </x:c>
      <x:c r="G750" s="37" t="str">
        <x:v>ZAF Museum &amp; Source Archive: Derek can build, edit, preview, test, and deploy with reasonable Android/mobile friction.</x:v>
      </x:c>
      <x:c r="H750" s="38" t="str">
        <x:v>Start as an archive layer within Master Vault; defer separate public museum.</x:v>
      </x:c>
    </x:row>
    <x:row r="751" ht="48" customHeight="1">
      <x:c r="A751" s="60" t="str">
        <x:v>DOS-041</x:v>
      </x:c>
      <x:c r="B751" s="37" t="str">
        <x:v>ZAF Museum &amp; Source Archive</x:v>
      </x:c>
      <x:c r="C751" s="37" t="str">
        <x:v>FAM-03</x:v>
      </x:c>
      <x:c r="D751" s="37" t="str">
        <x:v>Authentication, identity &amp; roles</x:v>
      </x:c>
      <x:c r="E751" s="37" t="str">
        <x:v>Important</x:v>
      </x:c>
      <x:c r="F751" s="37" t="str">
        <x:v>Score after gates</x:v>
      </x:c>
      <x:c r="G751" s="37" t="str">
        <x:v>ZAF Museum &amp; Source Archive: Sign-in, role-aware access, member identity, and permissions.</x:v>
      </x:c>
      <x:c r="H751" s="38" t="str">
        <x:v>Start as an archive layer within Master Vault; defer separate public museum.</x:v>
      </x:c>
    </x:row>
    <x:row r="752" ht="48" customHeight="1">
      <x:c r="A752" s="60" t="str">
        <x:v>DOS-041</x:v>
      </x:c>
      <x:c r="B752" s="37" t="str">
        <x:v>ZAF Museum &amp; Source Archive</x:v>
      </x:c>
      <x:c r="C752" s="37" t="str">
        <x:v>FAM-12</x:v>
      </x:c>
      <x:c r="D752" s="37" t="str">
        <x:v>AI text generation, analysis &amp; agents</x:v>
      </x:c>
      <x:c r="E752" s="37" t="str">
        <x:v>Important</x:v>
      </x:c>
      <x:c r="F752" s="37" t="str">
        <x:v>Score after gates</x:v>
      </x:c>
      <x:c r="G752" s="37" t="str">
        <x:v>ZAF Museum &amp; Source Archive: Prompted generation, classification, summarization, reasoning, or assistant behavior.</x:v>
      </x:c>
      <x:c r="H752" s="38" t="str">
        <x:v>Start as an archive layer within Master Vault; defer separate public museum.</x:v>
      </x:c>
    </x:row>
    <x:row r="753" ht="48" customHeight="1">
      <x:c r="A753" s="60" t="str">
        <x:v>DOS-041</x:v>
      </x:c>
      <x:c r="B753" s="37" t="str">
        <x:v>ZAF Museum &amp; Source Archive</x:v>
      </x:c>
      <x:c r="C753" s="37" t="str">
        <x:v>FAM-14</x:v>
      </x:c>
      <x:c r="D753" s="37" t="str">
        <x:v>Personalization, memory &amp; preferences</x:v>
      </x:c>
      <x:c r="E753" s="37" t="str">
        <x:v>Important</x:v>
      </x:c>
      <x:c r="F753" s="37" t="str">
        <x:v>Score after gates</x:v>
      </x:c>
      <x:c r="G753" s="37" t="str">
        <x:v>ZAF Museum &amp; Source Archive: Saved preferences, history, source memory, and adaptive outputs.</x:v>
      </x:c>
      <x:c r="H753" s="38" t="str">
        <x:v>Start as an archive layer within Master Vault; defer separate public museum.</x:v>
      </x:c>
    </x:row>
    <x:row r="754" ht="48" customHeight="1">
      <x:c r="A754" s="60" t="str">
        <x:v>DOS-041</x:v>
      </x:c>
      <x:c r="B754" s="37" t="str">
        <x:v>ZAF Museum &amp; Source Archive</x:v>
      </x:c>
      <x:c r="C754" s="37" t="str">
        <x:v>FAM-20</x:v>
      </x:c>
      <x:c r="D754" s="37" t="str">
        <x:v>Notifications, reminders &amp; deadlines</x:v>
      </x:c>
      <x:c r="E754" s="37" t="str">
        <x:v>Important</x:v>
      </x:c>
      <x:c r="F754" s="37" t="str">
        <x:v>Score after gates</x:v>
      </x:c>
      <x:c r="G754" s="37" t="str">
        <x:v>ZAF Museum &amp; Source Archive: Push/email/in-app reminders, scheduled tasks, and time-bound flows.</x:v>
      </x:c>
      <x:c r="H754" s="38" t="str">
        <x:v>Start as an archive layer within Master Vault; defer separate public museum.</x:v>
      </x:c>
    </x:row>
    <x:row r="755" ht="48" customHeight="1">
      <x:c r="A755" s="60" t="str">
        <x:v>DOS-041</x:v>
      </x:c>
      <x:c r="B755" s="37" t="str">
        <x:v>ZAF Museum &amp; Source Archive</x:v>
      </x:c>
      <x:c r="C755" s="37" t="str">
        <x:v>FAM-21</x:v>
      </x:c>
      <x:c r="D755" s="37" t="str">
        <x:v>Automations, webhooks &amp; scheduled jobs</x:v>
      </x:c>
      <x:c r="E755" s="37" t="str">
        <x:v>Important</x:v>
      </x:c>
      <x:c r="F755" s="37" t="str">
        <x:v>Score after gates</x:v>
      </x:c>
      <x:c r="G755" s="37" t="str">
        <x:v>ZAF Museum &amp; Source Archive: Event-driven workflows, scheduled tasks, background processes, and webhooks.</x:v>
      </x:c>
      <x:c r="H755" s="38" t="str">
        <x:v>Start as an archive layer within Master Vault; defer separate public museum.</x:v>
      </x:c>
    </x:row>
    <x:row r="756" ht="48" customHeight="1">
      <x:c r="A756" s="60" t="str">
        <x:v>DOS-041</x:v>
      </x:c>
      <x:c r="B756" s="37" t="str">
        <x:v>ZAF Museum &amp; Source Archive</x:v>
      </x:c>
      <x:c r="C756" s="37" t="str">
        <x:v>FAM-24</x:v>
      </x:c>
      <x:c r="D756" s="37" t="str">
        <x:v>Export, publishing &amp; share routes</x:v>
      </x:c>
      <x:c r="E756" s="37" t="str">
        <x:v>Important</x:v>
      </x:c>
      <x:c r="F756" s="37" t="str">
        <x:v>Score after gates</x:v>
      </x:c>
      <x:c r="G756" s="37" t="str">
        <x:v>ZAF Museum &amp; Source Archive: Download/export, social publishing, share links, and portable output packages.</x:v>
      </x:c>
      <x:c r="H756" s="38" t="str">
        <x:v>Start as an archive layer within Master Vault; defer separate public museum.</x:v>
      </x:c>
    </x:row>
    <x:row r="757" ht="48" customHeight="1">
      <x:c r="A757" s="60" t="str">
        <x:v>DOS-041</x:v>
      </x:c>
      <x:c r="B757" s="37" t="str">
        <x:v>ZAF Museum &amp; Source Archive</x:v>
      </x:c>
      <x:c r="C757" s="37" t="str">
        <x:v>FAM-29</x:v>
      </x:c>
      <x:c r="D757" s="37" t="str">
        <x:v>Backend functions, APIs &amp; background compute</x:v>
      </x:c>
      <x:c r="E757" s="37" t="str">
        <x:v>Important</x:v>
      </x:c>
      <x:c r="F757" s="37" t="str">
        <x:v>Score after gates</x:v>
      </x:c>
      <x:c r="G757" s="37" t="str">
        <x:v>ZAF Museum &amp; Source Archive: Server functions, secure APIs, logs, queues, scheduled tasks, and secrets.</x:v>
      </x:c>
      <x:c r="H757" s="38" t="str">
        <x:v>Start as an archive layer within Master Vault; defer separate public museum.</x:v>
      </x:c>
    </x:row>
    <x:row r="758" ht="48" customHeight="1">
      <x:c r="A758" s="60" t="str">
        <x:v>DOS-041</x:v>
      </x:c>
      <x:c r="B758" s="37" t="str">
        <x:v>ZAF Museum &amp; Source Archive</x:v>
      </x:c>
      <x:c r="C758" s="37" t="str">
        <x:v>FAM-36</x:v>
      </x:c>
      <x:c r="D758" s="37" t="str">
        <x:v>Scoring, ranking &amp; matching logic</x:v>
      </x:c>
      <x:c r="E758" s="37" t="str">
        <x:v>Important</x:v>
      </x:c>
      <x:c r="F758" s="37" t="str">
        <x:v>Score after gates</x:v>
      </x:c>
      <x:c r="G758" s="37" t="str">
        <x:v>ZAF Museum &amp; Source Archive: Transparent scorecards, requirements matching, routes, and tie-break explanations.</x:v>
      </x:c>
      <x:c r="H758" s="38" t="str">
        <x:v>Start as an archive layer within Master Vault; defer separate public museum.</x:v>
      </x:c>
    </x:row>
    <x:row r="759" ht="48" customHeight="1">
      <x:c r="A759" s="60" t="str">
        <x:v>DOS-041</x:v>
      </x:c>
      <x:c r="B759" s="37" t="str">
        <x:v>ZAF Museum &amp; Source Archive</x:v>
      </x:c>
      <x:c r="C759" s="37" t="str">
        <x:v>FAM-15</x:v>
      </x:c>
      <x:c r="D759" s="37" t="str">
        <x:v>Social, realtime &amp; collaboration</x:v>
      </x:c>
      <x:c r="E759" s="37" t="str">
        <x:v>Expansion</x:v>
      </x:c>
      <x:c r="F759" s="37" t="str">
        <x:v>Flexible / later only</x:v>
      </x:c>
      <x:c r="G759" s="37" t="str">
        <x:v>ZAF Museum &amp; Source Archive: Feeds, messaging, groups, sharing, realtime updates, or multi-user creation.</x:v>
      </x:c>
      <x:c r="H759" s="38" t="str">
        <x:v>Public exhibit, interactive timeline, lore world.</x:v>
      </x:c>
    </x:row>
    <x:row r="760" ht="48" customHeight="1">
      <x:c r="A760" s="60" t="str">
        <x:v>DOS-041</x:v>
      </x:c>
      <x:c r="B760" s="37" t="str">
        <x:v>ZAF Museum &amp; Source Archive</x:v>
      </x:c>
      <x:c r="C760" s="37" t="str">
        <x:v>FAM-31</x:v>
      </x:c>
      <x:c r="D760" s="37" t="str">
        <x:v>Teams, co-creation &amp; permissions</x:v>
      </x:c>
      <x:c r="E760" s="37" t="str">
        <x:v>Expansion</x:v>
      </x:c>
      <x:c r="F760" s="37" t="str">
        <x:v>Flexible / later only</x:v>
      </x:c>
      <x:c r="G760" s="37" t="str">
        <x:v>ZAF Museum &amp; Source Archive: Multi-person workspaces, collaboration, ownership boundaries, and team roles.</x:v>
      </x:c>
      <x:c r="H760" s="38" t="str">
        <x:v>Public exhibit, interactive timeline, lore world.</x:v>
      </x:c>
    </x:row>
    <x:row r="761" ht="48" customHeight="1">
      <x:c r="A761" s="60" t="str">
        <x:v>DOS-041</x:v>
      </x:c>
      <x:c r="B761" s="37" t="str">
        <x:v>ZAF Museum &amp; Source Archive</x:v>
      </x:c>
      <x:c r="C761" s="37" t="str">
        <x:v>FAM-32</x:v>
      </x:c>
      <x:c r="D761" s="37" t="str">
        <x:v>Marketplace, templates &amp; creator assets</x:v>
      </x:c>
      <x:c r="E761" s="37" t="str">
        <x:v>Expansion</x:v>
      </x:c>
      <x:c r="F761" s="37" t="str">
        <x:v>Flexible / later only</x:v>
      </x:c>
      <x:c r="G761" s="37" t="str">
        <x:v>ZAF Museum &amp; Source Archive: Listings, reusable assets, creator publishing, reviews, and marketplace rules.</x:v>
      </x:c>
      <x:c r="H761" s="38" t="str">
        <x:v>Public exhibit, interactive timeline, lore world.</x:v>
      </x:c>
    </x:row>
    <x:row r="762" ht="48" customHeight="1">
      <x:c r="A762" s="60" t="str">
        <x:v>DOS-041</x:v>
      </x:c>
      <x:c r="B762" s="37" t="str">
        <x:v>ZAF Museum &amp; Source Archive</x:v>
      </x:c>
      <x:c r="C762" s="37" t="str">
        <x:v>FAM-37</x:v>
      </x:c>
      <x:c r="D762" s="37" t="str">
        <x:v>Gamification, challenges &amp; progression</x:v>
      </x:c>
      <x:c r="E762" s="37" t="str">
        <x:v>Expansion</x:v>
      </x:c>
      <x:c r="F762" s="37" t="str">
        <x:v>Flexible / later only</x:v>
      </x:c>
      <x:c r="G762" s="37" t="str">
        <x:v>ZAF Museum &amp; Source Archive: Challenges, points, levels, voting, collection, and progress systems.</x:v>
      </x:c>
      <x:c r="H762" s="38" t="str">
        <x:v>Public exhibit, interactive timeline, lore world.</x:v>
      </x:c>
    </x:row>
    <x:row r="763" ht="48" customHeight="1">
      <x:c r="A763" s="60" t="str">
        <x:v>DOS-042</x:v>
      </x:c>
      <x:c r="B763" s="37" t="str">
        <x:v>ZAF Strategy Council &amp; Builder Trials</x:v>
      </x:c>
      <x:c r="C763" s="37" t="str">
        <x:v>FAM-01</x:v>
      </x:c>
      <x:c r="D763" s="37" t="str">
        <x:v>Responsive web / PWA interface</x:v>
      </x:c>
      <x:c r="E763" s="37" t="str">
        <x:v>Must</x:v>
      </x:c>
      <x:c r="F763" s="37" t="str">
        <x:v>Strict-route gate</x:v>
      </x:c>
      <x:c r="G763" s="37" t="str">
        <x:v>ZAF Strategy Council &amp; Builder Trials: Mobile-first responsive screens and app-like web navigation.</x:v>
      </x:c>
      <x:c r="H763" s="38" t="str">
        <x:v>Project requirement profiles, Census join, strict/flexible routes, 3–5 test builds, decision dashboard.</x:v>
      </x:c>
    </x:row>
    <x:row r="764" ht="48" customHeight="1">
      <x:c r="A764" s="60" t="str">
        <x:v>DOS-042</x:v>
      </x:c>
      <x:c r="B764" s="37" t="str">
        <x:v>ZAF Strategy Council &amp; Builder Trials</x:v>
      </x:c>
      <x:c r="C764" s="37" t="str">
        <x:v>FAM-05</x:v>
      </x:c>
      <x:c r="D764" s="37" t="str">
        <x:v>Structured database &amp; persistent records</x:v>
      </x:c>
      <x:c r="E764" s="37" t="str">
        <x:v>Must</x:v>
      </x:c>
      <x:c r="F764" s="37" t="str">
        <x:v>Strict-route gate</x:v>
      </x:c>
      <x:c r="G764" s="37" t="str">
        <x:v>ZAF Strategy Council &amp; Builder Trials: Reliable structured data storage, retrieval, and updates.</x:v>
      </x:c>
      <x:c r="H764" s="38" t="str">
        <x:v>Project requirement profiles, Census join, strict/flexible routes, 3–5 test builds, decision dashboard.</x:v>
      </x:c>
    </x:row>
    <x:row r="765" ht="48" customHeight="1">
      <x:c r="A765" s="60" t="str">
        <x:v>DOS-042</x:v>
      </x:c>
      <x:c r="B765" s="37" t="str">
        <x:v>ZAF Strategy Council &amp; Builder Trials</x:v>
      </x:c>
      <x:c r="C765" s="37" t="str">
        <x:v>FAM-06</x:v>
      </x:c>
      <x:c r="D765" s="37" t="str">
        <x:v>Search, filters, lists &amp; directories</x:v>
      </x:c>
      <x:c r="E765" s="37" t="str">
        <x:v>Must</x:v>
      </x:c>
      <x:c r="F765" s="37" t="str">
        <x:v>Strict-route gate</x:v>
      </x:c>
      <x:c r="G765" s="37" t="str">
        <x:v>ZAF Strategy Council &amp; Builder Trials: Searchable libraries, member lists, catalog browsing, and filtered views.</x:v>
      </x:c>
      <x:c r="H765" s="38" t="str">
        <x:v>Project requirement profiles, Census join, strict/flexible routes, 3–5 test builds, decision dashboard.</x:v>
      </x:c>
    </x:row>
    <x:row r="766" ht="48" customHeight="1">
      <x:c r="A766" s="60" t="str">
        <x:v>DOS-042</x:v>
      </x:c>
      <x:c r="B766" s="37" t="str">
        <x:v>ZAF Strategy Council &amp; Builder Trials</x:v>
      </x:c>
      <x:c r="C766" s="37" t="str">
        <x:v>FAM-25</x:v>
      </x:c>
      <x:c r="D766" s="37" t="str">
        <x:v>Analytics, reporting &amp; decision dashboards</x:v>
      </x:c>
      <x:c r="E766" s="37" t="str">
        <x:v>Must</x:v>
      </x:c>
      <x:c r="F766" s="37" t="str">
        <x:v>Strict-route gate</x:v>
      </x:c>
      <x:c r="G766" s="37" t="str">
        <x:v>ZAF Strategy Council &amp; Builder Trials: Usage metrics, charts, rankings, reporting, and decision support.</x:v>
      </x:c>
      <x:c r="H766" s="38" t="str">
        <x:v>Project requirement profiles, Census join, strict/flexible routes, 3–5 test builds, decision dashboard.</x:v>
      </x:c>
    </x:row>
    <x:row r="767" ht="48" customHeight="1">
      <x:c r="A767" s="60" t="str">
        <x:v>DOS-042</x:v>
      </x:c>
      <x:c r="B767" s="37" t="str">
        <x:v>ZAF Strategy Council &amp; Builder Trials</x:v>
      </x:c>
      <x:c r="C767" s="37" t="str">
        <x:v>FAM-26</x:v>
      </x:c>
      <x:c r="D767" s="37" t="str">
        <x:v>Admin, CMS &amp; operational management</x:v>
      </x:c>
      <x:c r="E767" s="37" t="str">
        <x:v>Must</x:v>
      </x:c>
      <x:c r="F767" s="37" t="str">
        <x:v>Strict-route gate</x:v>
      </x:c>
      <x:c r="G767" s="37" t="str">
        <x:v>ZAF Strategy Council &amp; Builder Trials: Admin views, content management, operational review, and human overrides.</x:v>
      </x:c>
      <x:c r="H767" s="38" t="str">
        <x:v>Project requirement profiles, Census join, strict/flexible routes, 3–5 test builds, decision dashboard.</x:v>
      </x:c>
    </x:row>
    <x:row r="768" ht="48" customHeight="1">
      <x:c r="A768" s="60" t="str">
        <x:v>DOS-042</x:v>
      </x:c>
      <x:c r="B768" s="37" t="str">
        <x:v>ZAF Strategy Council &amp; Builder Trials</x:v>
      </x:c>
      <x:c r="C768" s="37" t="str">
        <x:v>FAM-27</x:v>
      </x:c>
      <x:c r="D768" s="37" t="str">
        <x:v>Portability, ownership &amp; escape path</x:v>
      </x:c>
      <x:c r="E768" s="37" t="str">
        <x:v>Must</x:v>
      </x:c>
      <x:c r="F768" s="37" t="str">
        <x:v>Strict-route gate</x:v>
      </x:c>
      <x:c r="G768" s="37" t="str">
        <x:v>ZAF Strategy Council &amp; Builder Trials: Code/data export, GitHub, custom domains, migration, and lock-in control.</x:v>
      </x:c>
      <x:c r="H768" s="38" t="str">
        <x:v>Project requirement profiles, Census join, strict/flexible routes, 3–5 test builds, decision dashboard.</x:v>
      </x:c>
    </x:row>
    <x:row r="769" ht="48" customHeight="1">
      <x:c r="A769" s="60" t="str">
        <x:v>DOS-042</x:v>
      </x:c>
      <x:c r="B769" s="37" t="str">
        <x:v>ZAF Strategy Council &amp; Builder Trials</x:v>
      </x:c>
      <x:c r="C769" s="37" t="str">
        <x:v>FAM-35</x:v>
      </x:c>
      <x:c r="D769" s="37" t="str">
        <x:v>Privacy, consent &amp; audit trail</x:v>
      </x:c>
      <x:c r="E769" s="37" t="str">
        <x:v>Must</x:v>
      </x:c>
      <x:c r="F769" s="37" t="str">
        <x:v>Strict-route gate</x:v>
      </x:c>
      <x:c r="G769" s="37" t="str">
        <x:v>ZAF Strategy Council &amp; Builder Trials: Consent, retention, access controls, provenance, and auditable actions.</x:v>
      </x:c>
      <x:c r="H769" s="38" t="str">
        <x:v>Project requirement profiles, Census join, strict/flexible routes, 3–5 test builds, decision dashboard.</x:v>
      </x:c>
    </x:row>
    <x:row r="770" ht="48" customHeight="1">
      <x:c r="A770" s="60" t="str">
        <x:v>DOS-042</x:v>
      </x:c>
      <x:c r="B770" s="37" t="str">
        <x:v>ZAF Strategy Council &amp; Builder Trials</x:v>
      </x:c>
      <x:c r="C770" s="37" t="str">
        <x:v>FAM-02</x:v>
      </x:c>
      <x:c r="D770" s="37" t="str">
        <x:v>Android/mobile builder workability</x:v>
      </x:c>
      <x:c r="E770" s="37" t="str">
        <x:v>Important</x:v>
      </x:c>
      <x:c r="F770" s="37" t="str">
        <x:v>Score after gates</x:v>
      </x:c>
      <x:c r="G770" s="37" t="str">
        <x:v>ZAF Strategy Council &amp; Builder Trials: Derek can build, edit, preview, test, and deploy with reasonable Android/mobile friction.</x:v>
      </x:c>
      <x:c r="H770" s="38" t="str">
        <x:v>Use this Dossier/Census workbook system first; defer public UI.</x:v>
      </x:c>
    </x:row>
    <x:row r="771" ht="48" customHeight="1">
      <x:c r="A771" s="60" t="str">
        <x:v>DOS-042</x:v>
      </x:c>
      <x:c r="B771" s="37" t="str">
        <x:v>ZAF Strategy Council &amp; Builder Trials</x:v>
      </x:c>
      <x:c r="C771" s="37" t="str">
        <x:v>FAM-03</x:v>
      </x:c>
      <x:c r="D771" s="37" t="str">
        <x:v>Authentication, identity &amp; roles</x:v>
      </x:c>
      <x:c r="E771" s="37" t="str">
        <x:v>Important</x:v>
      </x:c>
      <x:c r="F771" s="37" t="str">
        <x:v>Score after gates</x:v>
      </x:c>
      <x:c r="G771" s="37" t="str">
        <x:v>ZAF Strategy Council &amp; Builder Trials: Sign-in, role-aware access, member identity, and permissions.</x:v>
      </x:c>
      <x:c r="H771" s="38" t="str">
        <x:v>Use this Dossier/Census workbook system first; defer public UI.</x:v>
      </x:c>
    </x:row>
    <x:row r="772" ht="48" customHeight="1">
      <x:c r="A772" s="60" t="str">
        <x:v>DOS-042</x:v>
      </x:c>
      <x:c r="B772" s="37" t="str">
        <x:v>ZAF Strategy Council &amp; Builder Trials</x:v>
      </x:c>
      <x:c r="C772" s="37" t="str">
        <x:v>FAM-12</x:v>
      </x:c>
      <x:c r="D772" s="37" t="str">
        <x:v>AI text generation, analysis &amp; agents</x:v>
      </x:c>
      <x:c r="E772" s="37" t="str">
        <x:v>Important</x:v>
      </x:c>
      <x:c r="F772" s="37" t="str">
        <x:v>Score after gates</x:v>
      </x:c>
      <x:c r="G772" s="37" t="str">
        <x:v>ZAF Strategy Council &amp; Builder Trials: Prompted generation, classification, summarization, reasoning, or assistant behavior.</x:v>
      </x:c>
      <x:c r="H772" s="38" t="str">
        <x:v>Use this Dossier/Census workbook system first; defer public UI.</x:v>
      </x:c>
    </x:row>
    <x:row r="773" ht="48" customHeight="1">
      <x:c r="A773" s="60" t="str">
        <x:v>DOS-042</x:v>
      </x:c>
      <x:c r="B773" s="37" t="str">
        <x:v>ZAF Strategy Council &amp; Builder Trials</x:v>
      </x:c>
      <x:c r="C773" s="37" t="str">
        <x:v>FAM-14</x:v>
      </x:c>
      <x:c r="D773" s="37" t="str">
        <x:v>Personalization, memory &amp; preferences</x:v>
      </x:c>
      <x:c r="E773" s="37" t="str">
        <x:v>Important</x:v>
      </x:c>
      <x:c r="F773" s="37" t="str">
        <x:v>Score after gates</x:v>
      </x:c>
      <x:c r="G773" s="37" t="str">
        <x:v>ZAF Strategy Council &amp; Builder Trials: Saved preferences, history, source memory, and adaptive outputs.</x:v>
      </x:c>
      <x:c r="H773" s="38" t="str">
        <x:v>Use this Dossier/Census workbook system first; defer public UI.</x:v>
      </x:c>
    </x:row>
    <x:row r="774" ht="48" customHeight="1">
      <x:c r="A774" s="60" t="str">
        <x:v>DOS-042</x:v>
      </x:c>
      <x:c r="B774" s="37" t="str">
        <x:v>ZAF Strategy Council &amp; Builder Trials</x:v>
      </x:c>
      <x:c r="C774" s="37" t="str">
        <x:v>FAM-20</x:v>
      </x:c>
      <x:c r="D774" s="37" t="str">
        <x:v>Notifications, reminders &amp; deadlines</x:v>
      </x:c>
      <x:c r="E774" s="37" t="str">
        <x:v>Important</x:v>
      </x:c>
      <x:c r="F774" s="37" t="str">
        <x:v>Score after gates</x:v>
      </x:c>
      <x:c r="G774" s="37" t="str">
        <x:v>ZAF Strategy Council &amp; Builder Trials: Push/email/in-app reminders, scheduled tasks, and time-bound flows.</x:v>
      </x:c>
      <x:c r="H774" s="38" t="str">
        <x:v>Use this Dossier/Census workbook system first; defer public UI.</x:v>
      </x:c>
    </x:row>
    <x:row r="775" ht="48" customHeight="1">
      <x:c r="A775" s="60" t="str">
        <x:v>DOS-042</x:v>
      </x:c>
      <x:c r="B775" s="37" t="str">
        <x:v>ZAF Strategy Council &amp; Builder Trials</x:v>
      </x:c>
      <x:c r="C775" s="37" t="str">
        <x:v>FAM-21</x:v>
      </x:c>
      <x:c r="D775" s="37" t="str">
        <x:v>Automations, webhooks &amp; scheduled jobs</x:v>
      </x:c>
      <x:c r="E775" s="37" t="str">
        <x:v>Important</x:v>
      </x:c>
      <x:c r="F775" s="37" t="str">
        <x:v>Score after gates</x:v>
      </x:c>
      <x:c r="G775" s="37" t="str">
        <x:v>ZAF Strategy Council &amp; Builder Trials: Event-driven workflows, scheduled tasks, background processes, and webhooks.</x:v>
      </x:c>
      <x:c r="H775" s="38" t="str">
        <x:v>Use this Dossier/Census workbook system first; defer public UI.</x:v>
      </x:c>
    </x:row>
    <x:row r="776" ht="48" customHeight="1">
      <x:c r="A776" s="60" t="str">
        <x:v>DOS-042</x:v>
      </x:c>
      <x:c r="B776" s="37" t="str">
        <x:v>ZAF Strategy Council &amp; Builder Trials</x:v>
      </x:c>
      <x:c r="C776" s="37" t="str">
        <x:v>FAM-24</x:v>
      </x:c>
      <x:c r="D776" s="37" t="str">
        <x:v>Export, publishing &amp; share routes</x:v>
      </x:c>
      <x:c r="E776" s="37" t="str">
        <x:v>Important</x:v>
      </x:c>
      <x:c r="F776" s="37" t="str">
        <x:v>Score after gates</x:v>
      </x:c>
      <x:c r="G776" s="37" t="str">
        <x:v>ZAF Strategy Council &amp; Builder Trials: Download/export, social publishing, share links, and portable output packages.</x:v>
      </x:c>
      <x:c r="H776" s="38" t="str">
        <x:v>Use this Dossier/Census workbook system first; defer public UI.</x:v>
      </x:c>
    </x:row>
    <x:row r="777" ht="48" customHeight="1">
      <x:c r="A777" s="60" t="str">
        <x:v>DOS-042</x:v>
      </x:c>
      <x:c r="B777" s="37" t="str">
        <x:v>ZAF Strategy Council &amp; Builder Trials</x:v>
      </x:c>
      <x:c r="C777" s="37" t="str">
        <x:v>FAM-29</x:v>
      </x:c>
      <x:c r="D777" s="37" t="str">
        <x:v>Backend functions, APIs &amp; background compute</x:v>
      </x:c>
      <x:c r="E777" s="37" t="str">
        <x:v>Important</x:v>
      </x:c>
      <x:c r="F777" s="37" t="str">
        <x:v>Score after gates</x:v>
      </x:c>
      <x:c r="G777" s="37" t="str">
        <x:v>ZAF Strategy Council &amp; Builder Trials: Server functions, secure APIs, logs, queues, scheduled tasks, and secrets.</x:v>
      </x:c>
      <x:c r="H777" s="38" t="str">
        <x:v>Use this Dossier/Census workbook system first; defer public UI.</x:v>
      </x:c>
    </x:row>
    <x:row r="778" ht="48" customHeight="1">
      <x:c r="A778" s="60" t="str">
        <x:v>DOS-042</x:v>
      </x:c>
      <x:c r="B778" s="37" t="str">
        <x:v>ZAF Strategy Council &amp; Builder Trials</x:v>
      </x:c>
      <x:c r="C778" s="37" t="str">
        <x:v>FAM-36</x:v>
      </x:c>
      <x:c r="D778" s="37" t="str">
        <x:v>Scoring, ranking &amp; matching logic</x:v>
      </x:c>
      <x:c r="E778" s="37" t="str">
        <x:v>Important</x:v>
      </x:c>
      <x:c r="F778" s="37" t="str">
        <x:v>Score after gates</x:v>
      </x:c>
      <x:c r="G778" s="37" t="str">
        <x:v>ZAF Strategy Council &amp; Builder Trials: Transparent scorecards, requirements matching, routes, and tie-break explanations.</x:v>
      </x:c>
      <x:c r="H778" s="38" t="str">
        <x:v>Use this Dossier/Census workbook system first; defer public UI.</x:v>
      </x:c>
    </x:row>
    <x:row r="779" ht="48" customHeight="1">
      <x:c r="A779" s="60" t="str">
        <x:v>DOS-042</x:v>
      </x:c>
      <x:c r="B779" s="37" t="str">
        <x:v>ZAF Strategy Council &amp; Builder Trials</x:v>
      </x:c>
      <x:c r="C779" s="37" t="str">
        <x:v>FAM-15</x:v>
      </x:c>
      <x:c r="D779" s="37" t="str">
        <x:v>Social, realtime &amp; collaboration</x:v>
      </x:c>
      <x:c r="E779" s="37" t="str">
        <x:v>Expansion</x:v>
      </x:c>
      <x:c r="F779" s="37" t="str">
        <x:v>Flexible / later only</x:v>
      </x:c>
      <x:c r="G779" s="37" t="str">
        <x:v>ZAF Strategy Council &amp; Builder Trials: Feeds, messaging, groups, sharing, realtime updates, or multi-user creation.</x:v>
      </x:c>
      <x:c r="H779" s="38" t="str">
        <x:v>Living benchmarks, test automation, public selector.</x:v>
      </x:c>
    </x:row>
    <x:row r="780" ht="48" customHeight="1">
      <x:c r="A780" s="60" t="str">
        <x:v>DOS-042</x:v>
      </x:c>
      <x:c r="B780" s="37" t="str">
        <x:v>ZAF Strategy Council &amp; Builder Trials</x:v>
      </x:c>
      <x:c r="C780" s="37" t="str">
        <x:v>FAM-31</x:v>
      </x:c>
      <x:c r="D780" s="37" t="str">
        <x:v>Teams, co-creation &amp; permissions</x:v>
      </x:c>
      <x:c r="E780" s="37" t="str">
        <x:v>Expansion</x:v>
      </x:c>
      <x:c r="F780" s="37" t="str">
        <x:v>Flexible / later only</x:v>
      </x:c>
      <x:c r="G780" s="37" t="str">
        <x:v>ZAF Strategy Council &amp; Builder Trials: Multi-person workspaces, collaboration, ownership boundaries, and team roles.</x:v>
      </x:c>
      <x:c r="H780" s="38" t="str">
        <x:v>Living benchmarks, test automation, public selector.</x:v>
      </x:c>
    </x:row>
    <x:row r="781" ht="48" customHeight="1">
      <x:c r="A781" s="60" t="str">
        <x:v>DOS-042</x:v>
      </x:c>
      <x:c r="B781" s="37" t="str">
        <x:v>ZAF Strategy Council &amp; Builder Trials</x:v>
      </x:c>
      <x:c r="C781" s="37" t="str">
        <x:v>FAM-32</x:v>
      </x:c>
      <x:c r="D781" s="37" t="str">
        <x:v>Marketplace, templates &amp; creator assets</x:v>
      </x:c>
      <x:c r="E781" s="37" t="str">
        <x:v>Expansion</x:v>
      </x:c>
      <x:c r="F781" s="37" t="str">
        <x:v>Flexible / later only</x:v>
      </x:c>
      <x:c r="G781" s="37" t="str">
        <x:v>ZAF Strategy Council &amp; Builder Trials: Listings, reusable assets, creator publishing, reviews, and marketplace rules.</x:v>
      </x:c>
      <x:c r="H781" s="38" t="str">
        <x:v>Living benchmarks, test automation, public selector.</x:v>
      </x:c>
    </x:row>
    <x:row r="782" ht="48" customHeight="1">
      <x:c r="A782" s="60" t="str">
        <x:v>DOS-042</x:v>
      </x:c>
      <x:c r="B782" s="37" t="str">
        <x:v>ZAF Strategy Council &amp; Builder Trials</x:v>
      </x:c>
      <x:c r="C782" s="37" t="str">
        <x:v>FAM-37</x:v>
      </x:c>
      <x:c r="D782" s="37" t="str">
        <x:v>Gamification, challenges &amp; progression</x:v>
      </x:c>
      <x:c r="E782" s="37" t="str">
        <x:v>Expansion</x:v>
      </x:c>
      <x:c r="F782" s="37" t="str">
        <x:v>Flexible / later only</x:v>
      </x:c>
      <x:c r="G782" s="37" t="str">
        <x:v>ZAF Strategy Council &amp; Builder Trials: Challenges, points, levels, voting, collection, and progress systems.</x:v>
      </x:c>
      <x:c r="H782" s="38" t="str">
        <x:v>Living benchmarks, test automation, public selector.</x:v>
      </x:c>
    </x:row>
    <x:row r="783" ht="48" customHeight="1">
      <x:c r="A783" s="60" t="str">
        <x:v>DOS-043</x:v>
      </x:c>
      <x:c r="B783" s="37" t="str">
        <x:v>Private 4-Dimensional Information Site</x:v>
      </x:c>
      <x:c r="C783" s="37" t="str">
        <x:v>FAM-01</x:v>
      </x:c>
      <x:c r="D783" s="37" t="str">
        <x:v>Responsive web / PWA interface</x:v>
      </x:c>
      <x:c r="E783" s="37" t="str">
        <x:v>Must</x:v>
      </x:c>
      <x:c r="F783" s="37" t="str">
        <x:v>Strict-route gate</x:v>
      </x:c>
      <x:c r="G783" s="37" t="str">
        <x:v>Private 4-Dimensional Information Site: Mobile-first responsive screens and app-like web navigation.</x:v>
      </x:c>
      <x:c r="H783" s="38" t="str">
        <x:v>Information architecture, project cards, source links, search, visual navigation prototype.</x:v>
      </x:c>
    </x:row>
    <x:row r="784" ht="48" customHeight="1">
      <x:c r="A784" s="60" t="str">
        <x:v>DOS-043</x:v>
      </x:c>
      <x:c r="B784" s="37" t="str">
        <x:v>Private 4-Dimensional Information Site</x:v>
      </x:c>
      <x:c r="C784" s="37" t="str">
        <x:v>FAM-05</x:v>
      </x:c>
      <x:c r="D784" s="37" t="str">
        <x:v>Structured database &amp; persistent records</x:v>
      </x:c>
      <x:c r="E784" s="37" t="str">
        <x:v>Must</x:v>
      </x:c>
      <x:c r="F784" s="37" t="str">
        <x:v>Strict-route gate</x:v>
      </x:c>
      <x:c r="G784" s="37" t="str">
        <x:v>Private 4-Dimensional Information Site: Reliable structured data storage, retrieval, and updates.</x:v>
      </x:c>
      <x:c r="H784" s="38" t="str">
        <x:v>Information architecture, project cards, source links, search, visual navigation prototype.</x:v>
      </x:c>
    </x:row>
    <x:row r="785" ht="48" customHeight="1">
      <x:c r="A785" s="60" t="str">
        <x:v>DOS-043</x:v>
      </x:c>
      <x:c r="B785" s="37" t="str">
        <x:v>Private 4-Dimensional Information Site</x:v>
      </x:c>
      <x:c r="C785" s="37" t="str">
        <x:v>FAM-06</x:v>
      </x:c>
      <x:c r="D785" s="37" t="str">
        <x:v>Search, filters, lists &amp; directories</x:v>
      </x:c>
      <x:c r="E785" s="37" t="str">
        <x:v>Must</x:v>
      </x:c>
      <x:c r="F785" s="37" t="str">
        <x:v>Strict-route gate</x:v>
      </x:c>
      <x:c r="G785" s="37" t="str">
        <x:v>Private 4-Dimensional Information Site: Searchable libraries, member lists, catalog browsing, and filtered views.</x:v>
      </x:c>
      <x:c r="H785" s="38" t="str">
        <x:v>Information architecture, project cards, source links, search, visual navigation prototype.</x:v>
      </x:c>
    </x:row>
    <x:row r="786" ht="48" customHeight="1">
      <x:c r="A786" s="60" t="str">
        <x:v>DOS-043</x:v>
      </x:c>
      <x:c r="B786" s="37" t="str">
        <x:v>Private 4-Dimensional Information Site</x:v>
      </x:c>
      <x:c r="C786" s="37" t="str">
        <x:v>FAM-25</x:v>
      </x:c>
      <x:c r="D786" s="37" t="str">
        <x:v>Analytics, reporting &amp; decision dashboards</x:v>
      </x:c>
      <x:c r="E786" s="37" t="str">
        <x:v>Must</x:v>
      </x:c>
      <x:c r="F786" s="37" t="str">
        <x:v>Strict-route gate</x:v>
      </x:c>
      <x:c r="G786" s="37" t="str">
        <x:v>Private 4-Dimensional Information Site: Usage metrics, charts, rankings, reporting, and decision support.</x:v>
      </x:c>
      <x:c r="H786" s="38" t="str">
        <x:v>Information architecture, project cards, source links, search, visual navigation prototype.</x:v>
      </x:c>
    </x:row>
    <x:row r="787" ht="48" customHeight="1">
      <x:c r="A787" s="60" t="str">
        <x:v>DOS-043</x:v>
      </x:c>
      <x:c r="B787" s="37" t="str">
        <x:v>Private 4-Dimensional Information Site</x:v>
      </x:c>
      <x:c r="C787" s="37" t="str">
        <x:v>FAM-26</x:v>
      </x:c>
      <x:c r="D787" s="37" t="str">
        <x:v>Admin, CMS &amp; operational management</x:v>
      </x:c>
      <x:c r="E787" s="37" t="str">
        <x:v>Must</x:v>
      </x:c>
      <x:c r="F787" s="37" t="str">
        <x:v>Strict-route gate</x:v>
      </x:c>
      <x:c r="G787" s="37" t="str">
        <x:v>Private 4-Dimensional Information Site: Admin views, content management, operational review, and human overrides.</x:v>
      </x:c>
      <x:c r="H787" s="38" t="str">
        <x:v>Information architecture, project cards, source links, search, visual navigation prototype.</x:v>
      </x:c>
    </x:row>
    <x:row r="788" ht="48" customHeight="1">
      <x:c r="A788" s="60" t="str">
        <x:v>DOS-043</x:v>
      </x:c>
      <x:c r="B788" s="37" t="str">
        <x:v>Private 4-Dimensional Information Site</x:v>
      </x:c>
      <x:c r="C788" s="37" t="str">
        <x:v>FAM-27</x:v>
      </x:c>
      <x:c r="D788" s="37" t="str">
        <x:v>Portability, ownership &amp; escape path</x:v>
      </x:c>
      <x:c r="E788" s="37" t="str">
        <x:v>Must</x:v>
      </x:c>
      <x:c r="F788" s="37" t="str">
        <x:v>Strict-route gate</x:v>
      </x:c>
      <x:c r="G788" s="37" t="str">
        <x:v>Private 4-Dimensional Information Site: Code/data export, GitHub, custom domains, migration, and lock-in control.</x:v>
      </x:c>
      <x:c r="H788" s="38" t="str">
        <x:v>Information architecture, project cards, source links, search, visual navigation prototype.</x:v>
      </x:c>
    </x:row>
    <x:row r="789" ht="48" customHeight="1">
      <x:c r="A789" s="60" t="str">
        <x:v>DOS-043</x:v>
      </x:c>
      <x:c r="B789" s="37" t="str">
        <x:v>Private 4-Dimensional Information Site</x:v>
      </x:c>
      <x:c r="C789" s="37" t="str">
        <x:v>FAM-35</x:v>
      </x:c>
      <x:c r="D789" s="37" t="str">
        <x:v>Privacy, consent &amp; audit trail</x:v>
      </x:c>
      <x:c r="E789" s="37" t="str">
        <x:v>Must</x:v>
      </x:c>
      <x:c r="F789" s="37" t="str">
        <x:v>Strict-route gate</x:v>
      </x:c>
      <x:c r="G789" s="37" t="str">
        <x:v>Private 4-Dimensional Information Site: Consent, retention, access controls, provenance, and auditable actions.</x:v>
      </x:c>
      <x:c r="H789" s="38" t="str">
        <x:v>Information architecture, project cards, source links, search, visual navigation prototype.</x:v>
      </x:c>
    </x:row>
    <x:row r="790" ht="48" customHeight="1">
      <x:c r="A790" s="60" t="str">
        <x:v>DOS-043</x:v>
      </x:c>
      <x:c r="B790" s="37" t="str">
        <x:v>Private 4-Dimensional Information Site</x:v>
      </x:c>
      <x:c r="C790" s="37" t="str">
        <x:v>FAM-02</x:v>
      </x:c>
      <x:c r="D790" s="37" t="str">
        <x:v>Android/mobile builder workability</x:v>
      </x:c>
      <x:c r="E790" s="37" t="str">
        <x:v>Important</x:v>
      </x:c>
      <x:c r="F790" s="37" t="str">
        <x:v>Score after gates</x:v>
      </x:c>
      <x:c r="G790" s="37" t="str">
        <x:v>Private 4-Dimensional Information Site: Derek can build, edit, preview, test, and deploy with reasonable Android/mobile friction.</x:v>
      </x:c>
      <x:c r="H790" s="38" t="str">
        <x:v>Start with a simple internal hub rather than a full immersive world.</x:v>
      </x:c>
    </x:row>
    <x:row r="791" ht="48" customHeight="1">
      <x:c r="A791" s="60" t="str">
        <x:v>DOS-043</x:v>
      </x:c>
      <x:c r="B791" s="37" t="str">
        <x:v>Private 4-Dimensional Information Site</x:v>
      </x:c>
      <x:c r="C791" s="37" t="str">
        <x:v>FAM-03</x:v>
      </x:c>
      <x:c r="D791" s="37" t="str">
        <x:v>Authentication, identity &amp; roles</x:v>
      </x:c>
      <x:c r="E791" s="37" t="str">
        <x:v>Important</x:v>
      </x:c>
      <x:c r="F791" s="37" t="str">
        <x:v>Score after gates</x:v>
      </x:c>
      <x:c r="G791" s="37" t="str">
        <x:v>Private 4-Dimensional Information Site: Sign-in, role-aware access, member identity, and permissions.</x:v>
      </x:c>
      <x:c r="H791" s="38" t="str">
        <x:v>Start with a simple internal hub rather than a full immersive world.</x:v>
      </x:c>
    </x:row>
    <x:row r="792" ht="48" customHeight="1">
      <x:c r="A792" s="60" t="str">
        <x:v>DOS-043</x:v>
      </x:c>
      <x:c r="B792" s="37" t="str">
        <x:v>Private 4-Dimensional Information Site</x:v>
      </x:c>
      <x:c r="C792" s="37" t="str">
        <x:v>FAM-12</x:v>
      </x:c>
      <x:c r="D792" s="37" t="str">
        <x:v>AI text generation, analysis &amp; agents</x:v>
      </x:c>
      <x:c r="E792" s="37" t="str">
        <x:v>Important</x:v>
      </x:c>
      <x:c r="F792" s="37" t="str">
        <x:v>Score after gates</x:v>
      </x:c>
      <x:c r="G792" s="37" t="str">
        <x:v>Private 4-Dimensional Information Site: Prompted generation, classification, summarization, reasoning, or assistant behavior.</x:v>
      </x:c>
      <x:c r="H792" s="38" t="str">
        <x:v>Start with a simple internal hub rather than a full immersive world.</x:v>
      </x:c>
    </x:row>
    <x:row r="793" ht="48" customHeight="1">
      <x:c r="A793" s="60" t="str">
        <x:v>DOS-043</x:v>
      </x:c>
      <x:c r="B793" s="37" t="str">
        <x:v>Private 4-Dimensional Information Site</x:v>
      </x:c>
      <x:c r="C793" s="37" t="str">
        <x:v>FAM-14</x:v>
      </x:c>
      <x:c r="D793" s="37" t="str">
        <x:v>Personalization, memory &amp; preferences</x:v>
      </x:c>
      <x:c r="E793" s="37" t="str">
        <x:v>Important</x:v>
      </x:c>
      <x:c r="F793" s="37" t="str">
        <x:v>Score after gates</x:v>
      </x:c>
      <x:c r="G793" s="37" t="str">
        <x:v>Private 4-Dimensional Information Site: Saved preferences, history, source memory, and adaptive outputs.</x:v>
      </x:c>
      <x:c r="H793" s="38" t="str">
        <x:v>Start with a simple internal hub rather than a full immersive world.</x:v>
      </x:c>
    </x:row>
    <x:row r="794" ht="48" customHeight="1">
      <x:c r="A794" s="60" t="str">
        <x:v>DOS-043</x:v>
      </x:c>
      <x:c r="B794" s="37" t="str">
        <x:v>Private 4-Dimensional Information Site</x:v>
      </x:c>
      <x:c r="C794" s="37" t="str">
        <x:v>FAM-20</x:v>
      </x:c>
      <x:c r="D794" s="37" t="str">
        <x:v>Notifications, reminders &amp; deadlines</x:v>
      </x:c>
      <x:c r="E794" s="37" t="str">
        <x:v>Important</x:v>
      </x:c>
      <x:c r="F794" s="37" t="str">
        <x:v>Score after gates</x:v>
      </x:c>
      <x:c r="G794" s="37" t="str">
        <x:v>Private 4-Dimensional Information Site: Push/email/in-app reminders, scheduled tasks, and time-bound flows.</x:v>
      </x:c>
      <x:c r="H794" s="38" t="str">
        <x:v>Start with a simple internal hub rather than a full immersive world.</x:v>
      </x:c>
    </x:row>
    <x:row r="795" ht="48" customHeight="1">
      <x:c r="A795" s="60" t="str">
        <x:v>DOS-043</x:v>
      </x:c>
      <x:c r="B795" s="37" t="str">
        <x:v>Private 4-Dimensional Information Site</x:v>
      </x:c>
      <x:c r="C795" s="37" t="str">
        <x:v>FAM-21</x:v>
      </x:c>
      <x:c r="D795" s="37" t="str">
        <x:v>Automations, webhooks &amp; scheduled jobs</x:v>
      </x:c>
      <x:c r="E795" s="37" t="str">
        <x:v>Important</x:v>
      </x:c>
      <x:c r="F795" s="37" t="str">
        <x:v>Score after gates</x:v>
      </x:c>
      <x:c r="G795" s="37" t="str">
        <x:v>Private 4-Dimensional Information Site: Event-driven workflows, scheduled tasks, background processes, and webhooks.</x:v>
      </x:c>
      <x:c r="H795" s="38" t="str">
        <x:v>Start with a simple internal hub rather than a full immersive world.</x:v>
      </x:c>
    </x:row>
    <x:row r="796" ht="48" customHeight="1">
      <x:c r="A796" s="60" t="str">
        <x:v>DOS-043</x:v>
      </x:c>
      <x:c r="B796" s="37" t="str">
        <x:v>Private 4-Dimensional Information Site</x:v>
      </x:c>
      <x:c r="C796" s="37" t="str">
        <x:v>FAM-24</x:v>
      </x:c>
      <x:c r="D796" s="37" t="str">
        <x:v>Export, publishing &amp; share routes</x:v>
      </x:c>
      <x:c r="E796" s="37" t="str">
        <x:v>Important</x:v>
      </x:c>
      <x:c r="F796" s="37" t="str">
        <x:v>Score after gates</x:v>
      </x:c>
      <x:c r="G796" s="37" t="str">
        <x:v>Private 4-Dimensional Information Site: Download/export, social publishing, share links, and portable output packages.</x:v>
      </x:c>
      <x:c r="H796" s="38" t="str">
        <x:v>Start with a simple internal hub rather than a full immersive world.</x:v>
      </x:c>
    </x:row>
    <x:row r="797" ht="48" customHeight="1">
      <x:c r="A797" s="60" t="str">
        <x:v>DOS-043</x:v>
      </x:c>
      <x:c r="B797" s="37" t="str">
        <x:v>Private 4-Dimensional Information Site</x:v>
      </x:c>
      <x:c r="C797" s="37" t="str">
        <x:v>FAM-29</x:v>
      </x:c>
      <x:c r="D797" s="37" t="str">
        <x:v>Backend functions, APIs &amp; background compute</x:v>
      </x:c>
      <x:c r="E797" s="37" t="str">
        <x:v>Important</x:v>
      </x:c>
      <x:c r="F797" s="37" t="str">
        <x:v>Score after gates</x:v>
      </x:c>
      <x:c r="G797" s="37" t="str">
        <x:v>Private 4-Dimensional Information Site: Server functions, secure APIs, logs, queues, scheduled tasks, and secrets.</x:v>
      </x:c>
      <x:c r="H797" s="38" t="str">
        <x:v>Start with a simple internal hub rather than a full immersive world.</x:v>
      </x:c>
    </x:row>
    <x:row r="798" ht="48" customHeight="1">
      <x:c r="A798" s="60" t="str">
        <x:v>DOS-043</x:v>
      </x:c>
      <x:c r="B798" s="37" t="str">
        <x:v>Private 4-Dimensional Information Site</x:v>
      </x:c>
      <x:c r="C798" s="37" t="str">
        <x:v>FAM-36</x:v>
      </x:c>
      <x:c r="D798" s="37" t="str">
        <x:v>Scoring, ranking &amp; matching logic</x:v>
      </x:c>
      <x:c r="E798" s="37" t="str">
        <x:v>Important</x:v>
      </x:c>
      <x:c r="F798" s="37" t="str">
        <x:v>Score after gates</x:v>
      </x:c>
      <x:c r="G798" s="37" t="str">
        <x:v>Private 4-Dimensional Information Site: Transparent scorecards, requirements matching, routes, and tie-break explanations.</x:v>
      </x:c>
      <x:c r="H798" s="38" t="str">
        <x:v>Start with a simple internal hub rather than a full immersive world.</x:v>
      </x:c>
    </x:row>
    <x:row r="799" ht="48" customHeight="1">
      <x:c r="A799" s="60" t="str">
        <x:v>DOS-043</x:v>
      </x:c>
      <x:c r="B799" s="37" t="str">
        <x:v>Private 4-Dimensional Information Site</x:v>
      </x:c>
      <x:c r="C799" s="37" t="str">
        <x:v>FAM-15</x:v>
      </x:c>
      <x:c r="D799" s="37" t="str">
        <x:v>Social, realtime &amp; collaboration</x:v>
      </x:c>
      <x:c r="E799" s="37" t="str">
        <x:v>Expansion</x:v>
      </x:c>
      <x:c r="F799" s="37" t="str">
        <x:v>Flexible / later only</x:v>
      </x:c>
      <x:c r="G799" s="37" t="str">
        <x:v>Private 4-Dimensional Information Site: Feeds, messaging, groups, sharing, realtime updates, or multi-user creation.</x:v>
      </x:c>
      <x:c r="H799" s="38" t="str">
        <x:v>Spatial/cockpit interfaces, graph/exploration, shared collaboration.</x:v>
      </x:c>
    </x:row>
    <x:row r="800" ht="48" customHeight="1">
      <x:c r="A800" s="60" t="str">
        <x:v>DOS-043</x:v>
      </x:c>
      <x:c r="B800" s="37" t="str">
        <x:v>Private 4-Dimensional Information Site</x:v>
      </x:c>
      <x:c r="C800" s="37" t="str">
        <x:v>FAM-31</x:v>
      </x:c>
      <x:c r="D800" s="37" t="str">
        <x:v>Teams, co-creation &amp; permissions</x:v>
      </x:c>
      <x:c r="E800" s="37" t="str">
        <x:v>Expansion</x:v>
      </x:c>
      <x:c r="F800" s="37" t="str">
        <x:v>Flexible / later only</x:v>
      </x:c>
      <x:c r="G800" s="37" t="str">
        <x:v>Private 4-Dimensional Information Site: Multi-person workspaces, collaboration, ownership boundaries, and team roles.</x:v>
      </x:c>
      <x:c r="H800" s="38" t="str">
        <x:v>Spatial/cockpit interfaces, graph/exploration, shared collaboration.</x:v>
      </x:c>
    </x:row>
    <x:row r="801" ht="48" customHeight="1">
      <x:c r="A801" s="60" t="str">
        <x:v>DOS-043</x:v>
      </x:c>
      <x:c r="B801" s="37" t="str">
        <x:v>Private 4-Dimensional Information Site</x:v>
      </x:c>
      <x:c r="C801" s="37" t="str">
        <x:v>FAM-32</x:v>
      </x:c>
      <x:c r="D801" s="37" t="str">
        <x:v>Marketplace, templates &amp; creator assets</x:v>
      </x:c>
      <x:c r="E801" s="37" t="str">
        <x:v>Expansion</x:v>
      </x:c>
      <x:c r="F801" s="37" t="str">
        <x:v>Flexible / later only</x:v>
      </x:c>
      <x:c r="G801" s="37" t="str">
        <x:v>Private 4-Dimensional Information Site: Listings, reusable assets, creator publishing, reviews, and marketplace rules.</x:v>
      </x:c>
      <x:c r="H801" s="38" t="str">
        <x:v>Spatial/cockpit interfaces, graph/exploration, shared collaboration.</x:v>
      </x:c>
    </x:row>
    <x:row r="802" ht="48" customHeight="1">
      <x:c r="A802" s="60" t="str">
        <x:v>DOS-043</x:v>
      </x:c>
      <x:c r="B802" s="37" t="str">
        <x:v>Private 4-Dimensional Information Site</x:v>
      </x:c>
      <x:c r="C802" s="37" t="str">
        <x:v>FAM-37</x:v>
      </x:c>
      <x:c r="D802" s="37" t="str">
        <x:v>Gamification, challenges &amp; progression</x:v>
      </x:c>
      <x:c r="E802" s="37" t="str">
        <x:v>Expansion</x:v>
      </x:c>
      <x:c r="F802" s="37" t="str">
        <x:v>Flexible / later only</x:v>
      </x:c>
      <x:c r="G802" s="37" t="str">
        <x:v>Private 4-Dimensional Information Site: Challenges, points, levels, voting, collection, and progress systems.</x:v>
      </x:c>
      <x:c r="H802" s="38" t="str">
        <x:v>Spatial/cockpit interfaces, graph/exploration, shared collaboration.</x:v>
      </x:c>
    </x:row>
    <x:row r="803" ht="48" customHeight="1">
      <x:c r="A803" s="60" t="str">
        <x:v>DOS-044</x:v>
      </x:c>
      <x:c r="B803" s="37" t="str">
        <x:v>Customization Prompt Archive + Lab</x:v>
      </x:c>
      <x:c r="C803" s="37" t="str">
        <x:v>FAM-01</x:v>
      </x:c>
      <x:c r="D803" s="37" t="str">
        <x:v>Responsive web / PWA interface</x:v>
      </x:c>
      <x:c r="E803" s="37" t="str">
        <x:v>Must</x:v>
      </x:c>
      <x:c r="F803" s="37" t="str">
        <x:v>Strict-route gate</x:v>
      </x:c>
      <x:c r="G803" s="37" t="str">
        <x:v>Customization Prompt Archive + Lab: Mobile-first responsive screens and app-like web navigation.</x:v>
      </x:c>
      <x:c r="H803" s="38" t="str">
        <x:v>Prompt records, version history, use case, copy/export, approvals, archive logic.</x:v>
      </x:c>
    </x:row>
    <x:row r="804" ht="48" customHeight="1">
      <x:c r="A804" s="60" t="str">
        <x:v>DOS-044</x:v>
      </x:c>
      <x:c r="B804" s="37" t="str">
        <x:v>Customization Prompt Archive + Lab</x:v>
      </x:c>
      <x:c r="C804" s="37" t="str">
        <x:v>FAM-03</x:v>
      </x:c>
      <x:c r="D804" s="37" t="str">
        <x:v>Authentication, identity &amp; roles</x:v>
      </x:c>
      <x:c r="E804" s="37" t="str">
        <x:v>Must</x:v>
      </x:c>
      <x:c r="F804" s="37" t="str">
        <x:v>Strict-route gate</x:v>
      </x:c>
      <x:c r="G804" s="37" t="str">
        <x:v>Customization Prompt Archive + Lab: Sign-in, role-aware access, member identity, and permissions.</x:v>
      </x:c>
      <x:c r="H804" s="38" t="str">
        <x:v>Prompt records, version history, use case, copy/export, approvals, archive logic.</x:v>
      </x:c>
    </x:row>
    <x:row r="805" ht="48" customHeight="1">
      <x:c r="A805" s="60" t="str">
        <x:v>DOS-044</x:v>
      </x:c>
      <x:c r="B805" s="37" t="str">
        <x:v>Customization Prompt Archive + Lab</x:v>
      </x:c>
      <x:c r="C805" s="37" t="str">
        <x:v>FAM-05</x:v>
      </x:c>
      <x:c r="D805" s="37" t="str">
        <x:v>Structured database &amp; persistent records</x:v>
      </x:c>
      <x:c r="E805" s="37" t="str">
        <x:v>Must</x:v>
      </x:c>
      <x:c r="F805" s="37" t="str">
        <x:v>Strict-route gate</x:v>
      </x:c>
      <x:c r="G805" s="37" t="str">
        <x:v>Customization Prompt Archive + Lab: Reliable structured data storage, retrieval, and updates.</x:v>
      </x:c>
      <x:c r="H805" s="38" t="str">
        <x:v>Prompt records, version history, use case, copy/export, approvals, archive logic.</x:v>
      </x:c>
    </x:row>
    <x:row r="806" ht="48" customHeight="1">
      <x:c r="A806" s="60" t="str">
        <x:v>DOS-044</x:v>
      </x:c>
      <x:c r="B806" s="37" t="str">
        <x:v>Customization Prompt Archive + Lab</x:v>
      </x:c>
      <x:c r="C806" s="37" t="str">
        <x:v>FAM-06</x:v>
      </x:c>
      <x:c r="D806" s="37" t="str">
        <x:v>Search, filters, lists &amp; directories</x:v>
      </x:c>
      <x:c r="E806" s="37" t="str">
        <x:v>Must</x:v>
      </x:c>
      <x:c r="F806" s="37" t="str">
        <x:v>Strict-route gate</x:v>
      </x:c>
      <x:c r="G806" s="37" t="str">
        <x:v>Customization Prompt Archive + Lab: Searchable libraries, member lists, catalog browsing, and filtered views.</x:v>
      </x:c>
      <x:c r="H806" s="38" t="str">
        <x:v>Prompt records, version history, use case, copy/export, approvals, archive logic.</x:v>
      </x:c>
    </x:row>
    <x:row r="807" ht="48" customHeight="1">
      <x:c r="A807" s="60" t="str">
        <x:v>DOS-044</x:v>
      </x:c>
      <x:c r="B807" s="37" t="str">
        <x:v>Customization Prompt Archive + Lab</x:v>
      </x:c>
      <x:c r="C807" s="37" t="str">
        <x:v>FAM-14</x:v>
      </x:c>
      <x:c r="D807" s="37" t="str">
        <x:v>Personalization, memory &amp; preferences</x:v>
      </x:c>
      <x:c r="E807" s="37" t="str">
        <x:v>Must</x:v>
      </x:c>
      <x:c r="F807" s="37" t="str">
        <x:v>Strict-route gate</x:v>
      </x:c>
      <x:c r="G807" s="37" t="str">
        <x:v>Customization Prompt Archive + Lab: Saved preferences, history, source memory, and adaptive outputs.</x:v>
      </x:c>
      <x:c r="H807" s="38" t="str">
        <x:v>Prompt records, version history, use case, copy/export, approvals, archive logic.</x:v>
      </x:c>
    </x:row>
    <x:row r="808" ht="48" customHeight="1">
      <x:c r="A808" s="60" t="str">
        <x:v>DOS-044</x:v>
      </x:c>
      <x:c r="B808" s="37" t="str">
        <x:v>Customization Prompt Archive + Lab</x:v>
      </x:c>
      <x:c r="C808" s="37" t="str">
        <x:v>FAM-24</x:v>
      </x:c>
      <x:c r="D808" s="37" t="str">
        <x:v>Export, publishing &amp; share routes</x:v>
      </x:c>
      <x:c r="E808" s="37" t="str">
        <x:v>Must</x:v>
      </x:c>
      <x:c r="F808" s="37" t="str">
        <x:v>Strict-route gate</x:v>
      </x:c>
      <x:c r="G808" s="37" t="str">
        <x:v>Customization Prompt Archive + Lab: Download/export, social publishing, share links, and portable output packages.</x:v>
      </x:c>
      <x:c r="H808" s="38" t="str">
        <x:v>Prompt records, version history, use case, copy/export, approvals, archive logic.</x:v>
      </x:c>
    </x:row>
    <x:row r="809" ht="48" customHeight="1">
      <x:c r="A809" s="60" t="str">
        <x:v>DOS-044</x:v>
      </x:c>
      <x:c r="B809" s="37" t="str">
        <x:v>Customization Prompt Archive + Lab</x:v>
      </x:c>
      <x:c r="C809" s="37" t="str">
        <x:v>FAM-27</x:v>
      </x:c>
      <x:c r="D809" s="37" t="str">
        <x:v>Portability, ownership &amp; escape path</x:v>
      </x:c>
      <x:c r="E809" s="37" t="str">
        <x:v>Must</x:v>
      </x:c>
      <x:c r="F809" s="37" t="str">
        <x:v>Strict-route gate</x:v>
      </x:c>
      <x:c r="G809" s="37" t="str">
        <x:v>Customization Prompt Archive + Lab: Code/data export, GitHub, custom domains, migration, and lock-in control.</x:v>
      </x:c>
      <x:c r="H809" s="38" t="str">
        <x:v>Prompt records, version history, use case, copy/export, approvals, archive logic.</x:v>
      </x:c>
    </x:row>
    <x:row r="810" ht="48" customHeight="1">
      <x:c r="A810" s="60" t="str">
        <x:v>DOS-044</x:v>
      </x:c>
      <x:c r="B810" s="37" t="str">
        <x:v>Customization Prompt Archive + Lab</x:v>
      </x:c>
      <x:c r="C810" s="37" t="str">
        <x:v>FAM-02</x:v>
      </x:c>
      <x:c r="D810" s="37" t="str">
        <x:v>Android/mobile builder workability</x:v>
      </x:c>
      <x:c r="E810" s="37" t="str">
        <x:v>Important</x:v>
      </x:c>
      <x:c r="F810" s="37" t="str">
        <x:v>Score after gates</x:v>
      </x:c>
      <x:c r="G810" s="37" t="str">
        <x:v>Customization Prompt Archive + Lab: Derek can build, edit, preview, test, and deploy with reasonable Android/mobile friction.</x:v>
      </x:c>
      <x:c r="H810" s="38" t="str">
        <x:v>Fold into Prompt Vault first; split only if its specialized workflow proves distinct.</x:v>
      </x:c>
    </x:row>
    <x:row r="811" ht="48" customHeight="1">
      <x:c r="A811" s="60" t="str">
        <x:v>DOS-044</x:v>
      </x:c>
      <x:c r="B811" s="37" t="str">
        <x:v>Customization Prompt Archive + Lab</x:v>
      </x:c>
      <x:c r="C811" s="37" t="str">
        <x:v>FAM-12</x:v>
      </x:c>
      <x:c r="D811" s="37" t="str">
        <x:v>AI text generation, analysis &amp; agents</x:v>
      </x:c>
      <x:c r="E811" s="37" t="str">
        <x:v>Important</x:v>
      </x:c>
      <x:c r="F811" s="37" t="str">
        <x:v>Score after gates</x:v>
      </x:c>
      <x:c r="G811" s="37" t="str">
        <x:v>Customization Prompt Archive + Lab: Prompted generation, classification, summarization, reasoning, or assistant behavior.</x:v>
      </x:c>
      <x:c r="H811" s="38" t="str">
        <x:v>Fold into Prompt Vault first; split only if its specialized workflow proves distinct.</x:v>
      </x:c>
    </x:row>
    <x:row r="812" ht="48" customHeight="1">
      <x:c r="A812" s="60" t="str">
        <x:v>DOS-044</x:v>
      </x:c>
      <x:c r="B812" s="37" t="str">
        <x:v>Customization Prompt Archive + Lab</x:v>
      </x:c>
      <x:c r="C812" s="37" t="str">
        <x:v>FAM-21</x:v>
      </x:c>
      <x:c r="D812" s="37" t="str">
        <x:v>Automations, webhooks &amp; scheduled jobs</x:v>
      </x:c>
      <x:c r="E812" s="37" t="str">
        <x:v>Important</x:v>
      </x:c>
      <x:c r="F812" s="37" t="str">
        <x:v>Score after gates</x:v>
      </x:c>
      <x:c r="G812" s="37" t="str">
        <x:v>Customization Prompt Archive + Lab: Event-driven workflows, scheduled tasks, background processes, and webhooks.</x:v>
      </x:c>
      <x:c r="H812" s="38" t="str">
        <x:v>Fold into Prompt Vault first; split only if its specialized workflow proves distinct.</x:v>
      </x:c>
    </x:row>
    <x:row r="813" ht="48" customHeight="1">
      <x:c r="A813" s="60" t="str">
        <x:v>DOS-044</x:v>
      </x:c>
      <x:c r="B813" s="37" t="str">
        <x:v>Customization Prompt Archive + Lab</x:v>
      </x:c>
      <x:c r="C813" s="37" t="str">
        <x:v>FAM-22</x:v>
      </x:c>
      <x:c r="D813" s="37" t="str">
        <x:v>APIs &amp; third-party integrations</x:v>
      </x:c>
      <x:c r="E813" s="37" t="str">
        <x:v>Important</x:v>
      </x:c>
      <x:c r="F813" s="37" t="str">
        <x:v>Score after gates</x:v>
      </x:c>
      <x:c r="G813" s="37" t="str">
        <x:v>Customization Prompt Archive + Lab: External services, social/export targets, payment providers, and service connectors.</x:v>
      </x:c>
      <x:c r="H813" s="38" t="str">
        <x:v>Fold into Prompt Vault first; split only if its specialized workflow proves distinct.</x:v>
      </x:c>
    </x:row>
    <x:row r="814" ht="48" customHeight="1">
      <x:c r="A814" s="60" t="str">
        <x:v>DOS-044</x:v>
      </x:c>
      <x:c r="B814" s="37" t="str">
        <x:v>Customization Prompt Archive + Lab</x:v>
      </x:c>
      <x:c r="C814" s="37" t="str">
        <x:v>FAM-25</x:v>
      </x:c>
      <x:c r="D814" s="37" t="str">
        <x:v>Analytics, reporting &amp; decision dashboards</x:v>
      </x:c>
      <x:c r="E814" s="37" t="str">
        <x:v>Important</x:v>
      </x:c>
      <x:c r="F814" s="37" t="str">
        <x:v>Score after gates</x:v>
      </x:c>
      <x:c r="G814" s="37" t="str">
        <x:v>Customization Prompt Archive + Lab: Usage metrics, charts, rankings, reporting, and decision support.</x:v>
      </x:c>
      <x:c r="H814" s="38" t="str">
        <x:v>Fold into Prompt Vault first; split only if its specialized workflow proves distinct.</x:v>
      </x:c>
    </x:row>
    <x:row r="815" ht="48" customHeight="1">
      <x:c r="A815" s="60" t="str">
        <x:v>DOS-044</x:v>
      </x:c>
      <x:c r="B815" s="37" t="str">
        <x:v>Customization Prompt Archive + Lab</x:v>
      </x:c>
      <x:c r="C815" s="37" t="str">
        <x:v>FAM-26</x:v>
      </x:c>
      <x:c r="D815" s="37" t="str">
        <x:v>Admin, CMS &amp; operational management</x:v>
      </x:c>
      <x:c r="E815" s="37" t="str">
        <x:v>Important</x:v>
      </x:c>
      <x:c r="F815" s="37" t="str">
        <x:v>Score after gates</x:v>
      </x:c>
      <x:c r="G815" s="37" t="str">
        <x:v>Customization Prompt Archive + Lab: Admin views, content management, operational review, and human overrides.</x:v>
      </x:c>
      <x:c r="H815" s="38" t="str">
        <x:v>Fold into Prompt Vault first; split only if its specialized workflow proves distinct.</x:v>
      </x:c>
    </x:row>
    <x:row r="816" ht="48" customHeight="1">
      <x:c r="A816" s="60" t="str">
        <x:v>DOS-044</x:v>
      </x:c>
      <x:c r="B816" s="37" t="str">
        <x:v>Customization Prompt Archive + Lab</x:v>
      </x:c>
      <x:c r="C816" s="37" t="str">
        <x:v>FAM-35</x:v>
      </x:c>
      <x:c r="D816" s="37" t="str">
        <x:v>Privacy, consent &amp; audit trail</x:v>
      </x:c>
      <x:c r="E816" s="37" t="str">
        <x:v>Important</x:v>
      </x:c>
      <x:c r="F816" s="37" t="str">
        <x:v>Score after gates</x:v>
      </x:c>
      <x:c r="G816" s="37" t="str">
        <x:v>Customization Prompt Archive + Lab: Consent, retention, access controls, provenance, and auditable actions.</x:v>
      </x:c>
      <x:c r="H816" s="38" t="str">
        <x:v>Fold into Prompt Vault first; split only if its specialized workflow proves distinct.</x:v>
      </x:c>
    </x:row>
    <x:row r="817" ht="48" customHeight="1">
      <x:c r="A817" s="60" t="str">
        <x:v>DOS-044</x:v>
      </x:c>
      <x:c r="B817" s="37" t="str">
        <x:v>Customization Prompt Archive + Lab</x:v>
      </x:c>
      <x:c r="C817" s="37" t="str">
        <x:v>FAM-15</x:v>
      </x:c>
      <x:c r="D817" s="37" t="str">
        <x:v>Social, realtime &amp; collaboration</x:v>
      </x:c>
      <x:c r="E817" s="37" t="str">
        <x:v>Expansion</x:v>
      </x:c>
      <x:c r="F817" s="37" t="str">
        <x:v>Flexible / later only</x:v>
      </x:c>
      <x:c r="G817" s="37" t="str">
        <x:v>Customization Prompt Archive + Lab: Feeds, messaging, groups, sharing, realtime updates, or multi-user creation.</x:v>
      </x:c>
      <x:c r="H817" s="38" t="str">
        <x:v>Collaborative prompt lab, testing, evaluations, product templates.</x:v>
      </x:c>
    </x:row>
    <x:row r="818" ht="48" customHeight="1">
      <x:c r="A818" s="60" t="str">
        <x:v>DOS-044</x:v>
      </x:c>
      <x:c r="B818" s="37" t="str">
        <x:v>Customization Prompt Archive + Lab</x:v>
      </x:c>
      <x:c r="C818" s="37" t="str">
        <x:v>FAM-17</x:v>
      </x:c>
      <x:c r="D818" s="37" t="str">
        <x:v>Payments, subscriptions &amp; billing</x:v>
      </x:c>
      <x:c r="E818" s="37" t="str">
        <x:v>Expansion</x:v>
      </x:c>
      <x:c r="F818" s="37" t="str">
        <x:v>Flexible / later only</x:v>
      </x:c>
      <x:c r="G818" s="37" t="str">
        <x:v>Customization Prompt Archive + Lab: Payments, subscriptions, checkout, entitlements, and billing-aware workflows.</x:v>
      </x:c>
      <x:c r="H818" s="38" t="str">
        <x:v>Collaborative prompt lab, testing, evaluations, product templates.</x:v>
      </x:c>
    </x:row>
    <x:row r="819" ht="48" customHeight="1">
      <x:c r="A819" s="60" t="str">
        <x:v>DOS-044</x:v>
      </x:c>
      <x:c r="B819" s="37" t="str">
        <x:v>Customization Prompt Archive + Lab</x:v>
      </x:c>
      <x:c r="C819" s="37" t="str">
        <x:v>FAM-31</x:v>
      </x:c>
      <x:c r="D819" s="37" t="str">
        <x:v>Teams, co-creation &amp; permissions</x:v>
      </x:c>
      <x:c r="E819" s="37" t="str">
        <x:v>Expansion</x:v>
      </x:c>
      <x:c r="F819" s="37" t="str">
        <x:v>Flexible / later only</x:v>
      </x:c>
      <x:c r="G819" s="37" t="str">
        <x:v>Customization Prompt Archive + Lab: Multi-person workspaces, collaboration, ownership boundaries, and team roles.</x:v>
      </x:c>
      <x:c r="H819" s="38" t="str">
        <x:v>Collaborative prompt lab, testing, evaluations, product templates.</x:v>
      </x:c>
    </x:row>
    <x:row r="820" ht="48" customHeight="1">
      <x:c r="A820" s="60" t="str">
        <x:v>DOS-044</x:v>
      </x:c>
      <x:c r="B820" s="37" t="str">
        <x:v>Customization Prompt Archive + Lab</x:v>
      </x:c>
      <x:c r="C820" s="37" t="str">
        <x:v>FAM-32</x:v>
      </x:c>
      <x:c r="D820" s="37" t="str">
        <x:v>Marketplace, templates &amp; creator assets</x:v>
      </x:c>
      <x:c r="E820" s="37" t="str">
        <x:v>Expansion</x:v>
      </x:c>
      <x:c r="F820" s="37" t="str">
        <x:v>Flexible / later only</x:v>
      </x:c>
      <x:c r="G820" s="37" t="str">
        <x:v>Customization Prompt Archive + Lab: Listings, reusable assets, creator publishing, reviews, and marketplace rules.</x:v>
      </x:c>
      <x:c r="H820" s="38" t="str">
        <x:v>Collaborative prompt lab, testing, evaluations, product templates.</x:v>
      </x:c>
    </x:row>
    <x:row r="821" ht="48" customHeight="1">
      <x:c r="A821" s="60" t="str">
        <x:v>DOS-045</x:v>
      </x:c>
      <x:c r="B821" s="37" t="str">
        <x:v>ZAF Lessons, Workshops, Events, Forum + Blog</x:v>
      </x:c>
      <x:c r="C821" s="37" t="str">
        <x:v>FAM-01</x:v>
      </x:c>
      <x:c r="D821" s="37" t="str">
        <x:v>Responsive web / PWA interface</x:v>
      </x:c>
      <x:c r="E821" s="37" t="str">
        <x:v>Must</x:v>
      </x:c>
      <x:c r="F821" s="37" t="str">
        <x:v>Strict-route gate</x:v>
      </x:c>
      <x:c r="G821" s="37" t="str">
        <x:v>ZAF Lessons, Workshops, Events, Forum + Blog: Mobile-first responsive screens and app-like web navigation.</x:v>
      </x:c>
      <x:c r="H821" s="38" t="str">
        <x:v>Public pages, event calendar, registration/contact, content/blog, basic community handoff.</x:v>
      </x:c>
    </x:row>
    <x:row r="822" ht="48" customHeight="1">
      <x:c r="A822" s="60" t="str">
        <x:v>DOS-045</x:v>
      </x:c>
      <x:c r="B822" s="37" t="str">
        <x:v>ZAF Lessons, Workshops, Events, Forum + Blog</x:v>
      </x:c>
      <x:c r="C822" s="37" t="str">
        <x:v>FAM-23</x:v>
      </x:c>
      <x:c r="D822" s="37" t="str">
        <x:v>Public website, SEO &amp; domain control</x:v>
      </x:c>
      <x:c r="E822" s="37" t="str">
        <x:v>Must</x:v>
      </x:c>
      <x:c r="F822" s="37" t="str">
        <x:v>Strict-route gate</x:v>
      </x:c>
      <x:c r="G822" s="37" t="str">
        <x:v>ZAF Lessons, Workshops, Events, Forum + Blog: Public pages, discoverability, custom domain, shareability, and search metadata.</x:v>
      </x:c>
      <x:c r="H822" s="38" t="str">
        <x:v>Public pages, event calendar, registration/contact, content/blog, basic community handoff.</x:v>
      </x:c>
    </x:row>
    <x:row r="823" ht="48" customHeight="1">
      <x:c r="A823" s="60" t="str">
        <x:v>DOS-045</x:v>
      </x:c>
      <x:c r="B823" s="37" t="str">
        <x:v>ZAF Lessons, Workshops, Events, Forum + Blog</x:v>
      </x:c>
      <x:c r="C823" s="37" t="str">
        <x:v>FAM-26</x:v>
      </x:c>
      <x:c r="D823" s="37" t="str">
        <x:v>Admin, CMS &amp; operational management</x:v>
      </x:c>
      <x:c r="E823" s="37" t="str">
        <x:v>Must</x:v>
      </x:c>
      <x:c r="F823" s="37" t="str">
        <x:v>Strict-route gate</x:v>
      </x:c>
      <x:c r="G823" s="37" t="str">
        <x:v>ZAF Lessons, Workshops, Events, Forum + Blog: Admin views, content management, operational review, and human overrides.</x:v>
      </x:c>
      <x:c r="H823" s="38" t="str">
        <x:v>Public pages, event calendar, registration/contact, content/blog, basic community handoff.</x:v>
      </x:c>
    </x:row>
    <x:row r="824" ht="48" customHeight="1">
      <x:c r="A824" s="60" t="str">
        <x:v>DOS-045</x:v>
      </x:c>
      <x:c r="B824" s="37" t="str">
        <x:v>ZAF Lessons, Workshops, Events, Forum + Blog</x:v>
      </x:c>
      <x:c r="C824" s="37" t="str">
        <x:v>FAM-34</x:v>
      </x:c>
      <x:c r="D824" s="37" t="str">
        <x:v>Lead capture, booking &amp; service commerce</x:v>
      </x:c>
      <x:c r="E824" s="37" t="str">
        <x:v>Must</x:v>
      </x:c>
      <x:c r="F824" s="37" t="str">
        <x:v>Strict-route gate</x:v>
      </x:c>
      <x:c r="G824" s="37" t="str">
        <x:v>ZAF Lessons, Workshops, Events, Forum + Blog: Inquiry forms, booking, sales funnels, quotes, and service-client handoff.</x:v>
      </x:c>
      <x:c r="H824" s="38" t="str">
        <x:v>Public pages, event calendar, registration/contact, content/blog, basic community handoff.</x:v>
      </x:c>
    </x:row>
    <x:row r="825" ht="48" customHeight="1">
      <x:c r="A825" s="60" t="str">
        <x:v>DOS-045</x:v>
      </x:c>
      <x:c r="B825" s="37" t="str">
        <x:v>ZAF Lessons, Workshops, Events, Forum + Blog</x:v>
      </x:c>
      <x:c r="C825" s="37" t="str">
        <x:v>FAM-40</x:v>
      </x:c>
      <x:c r="D825" s="37" t="str">
        <x:v>Research, validation &amp; launch experiment</x:v>
      </x:c>
      <x:c r="E825" s="37" t="str">
        <x:v>Must</x:v>
      </x:c>
      <x:c r="F825" s="37" t="str">
        <x:v>Strict-route gate</x:v>
      </x:c>
      <x:c r="G825" s="37" t="str">
        <x:v>ZAF Lessons, Workshops, Events, Forum + Blog: Landing tests, surveys, waitlists, hypotheses, experiments, and evidence capture.</x:v>
      </x:c>
      <x:c r="H825" s="38" t="str">
        <x:v>Public pages, event calendar, registration/contact, content/blog, basic community handoff.</x:v>
      </x:c>
    </x:row>
    <x:row r="826" ht="48" customHeight="1">
      <x:c r="A826" s="60" t="str">
        <x:v>DOS-045</x:v>
      </x:c>
      <x:c r="B826" s="37" t="str">
        <x:v>ZAF Lessons, Workshops, Events, Forum + Blog</x:v>
      </x:c>
      <x:c r="C826" s="37" t="str">
        <x:v>FAM-02</x:v>
      </x:c>
      <x:c r="D826" s="37" t="str">
        <x:v>Android/mobile builder workability</x:v>
      </x:c>
      <x:c r="E826" s="37" t="str">
        <x:v>Important</x:v>
      </x:c>
      <x:c r="F826" s="37" t="str">
        <x:v>Score after gates</x:v>
      </x:c>
      <x:c r="G826" s="37" t="str">
        <x:v>ZAF Lessons, Workshops, Events, Forum + Blog: Derek can build, edit, preview, test, and deploy with reasonable Android/mobile friction.</x:v>
      </x:c>
      <x:c r="H826" s="38" t="str">
        <x:v>Start content/service site and manual events before custom forum/community tech.</x:v>
      </x:c>
    </x:row>
    <x:row r="827" ht="48" customHeight="1">
      <x:c r="A827" s="60" t="str">
        <x:v>DOS-045</x:v>
      </x:c>
      <x:c r="B827" s="37" t="str">
        <x:v>ZAF Lessons, Workshops, Events, Forum + Blog</x:v>
      </x:c>
      <x:c r="C827" s="37" t="str">
        <x:v>FAM-17</x:v>
      </x:c>
      <x:c r="D827" s="37" t="str">
        <x:v>Payments, subscriptions &amp; billing</x:v>
      </x:c>
      <x:c r="E827" s="37" t="str">
        <x:v>Important</x:v>
      </x:c>
      <x:c r="F827" s="37" t="str">
        <x:v>Score after gates</x:v>
      </x:c>
      <x:c r="G827" s="37" t="str">
        <x:v>ZAF Lessons, Workshops, Events, Forum + Blog: Payments, subscriptions, checkout, entitlements, and billing-aware workflows.</x:v>
      </x:c>
      <x:c r="H827" s="38" t="str">
        <x:v>Start content/service site and manual events before custom forum/community tech.</x:v>
      </x:c>
    </x:row>
    <x:row r="828" ht="48" customHeight="1">
      <x:c r="A828" s="60" t="str">
        <x:v>DOS-045</x:v>
      </x:c>
      <x:c r="B828" s="37" t="str">
        <x:v>ZAF Lessons, Workshops, Events, Forum + Blog</x:v>
      </x:c>
      <x:c r="C828" s="37" t="str">
        <x:v>FAM-22</x:v>
      </x:c>
      <x:c r="D828" s="37" t="str">
        <x:v>APIs &amp; third-party integrations</x:v>
      </x:c>
      <x:c r="E828" s="37" t="str">
        <x:v>Important</x:v>
      </x:c>
      <x:c r="F828" s="37" t="str">
        <x:v>Score after gates</x:v>
      </x:c>
      <x:c r="G828" s="37" t="str">
        <x:v>ZAF Lessons, Workshops, Events, Forum + Blog: External services, social/export targets, payment providers, and service connectors.</x:v>
      </x:c>
      <x:c r="H828" s="38" t="str">
        <x:v>Start content/service site and manual events before custom forum/community tech.</x:v>
      </x:c>
    </x:row>
    <x:row r="829" ht="48" customHeight="1">
      <x:c r="A829" s="60" t="str">
        <x:v>DOS-045</x:v>
      </x:c>
      <x:c r="B829" s="37" t="str">
        <x:v>ZAF Lessons, Workshops, Events, Forum + Blog</x:v>
      </x:c>
      <x:c r="C829" s="37" t="str">
        <x:v>FAM-25</x:v>
      </x:c>
      <x:c r="D829" s="37" t="str">
        <x:v>Analytics, reporting &amp; decision dashboards</x:v>
      </x:c>
      <x:c r="E829" s="37" t="str">
        <x:v>Important</x:v>
      </x:c>
      <x:c r="F829" s="37" t="str">
        <x:v>Score after gates</x:v>
      </x:c>
      <x:c r="G829" s="37" t="str">
        <x:v>ZAF Lessons, Workshops, Events, Forum + Blog: Usage metrics, charts, rankings, reporting, and decision support.</x:v>
      </x:c>
      <x:c r="H829" s="38" t="str">
        <x:v>Start content/service site and manual events before custom forum/community tech.</x:v>
      </x:c>
    </x:row>
    <x:row r="830" ht="48" customHeight="1">
      <x:c r="A830" s="60" t="str">
        <x:v>DOS-045</x:v>
      </x:c>
      <x:c r="B830" s="37" t="str">
        <x:v>ZAF Lessons, Workshops, Events, Forum + Blog</x:v>
      </x:c>
      <x:c r="C830" s="37" t="str">
        <x:v>FAM-27</x:v>
      </x:c>
      <x:c r="D830" s="37" t="str">
        <x:v>Portability, ownership &amp; escape path</x:v>
      </x:c>
      <x:c r="E830" s="37" t="str">
        <x:v>Important</x:v>
      </x:c>
      <x:c r="F830" s="37" t="str">
        <x:v>Score after gates</x:v>
      </x:c>
      <x:c r="G830" s="37" t="str">
        <x:v>ZAF Lessons, Workshops, Events, Forum + Blog: Code/data export, GitHub, custom domains, migration, and lock-in control.</x:v>
      </x:c>
      <x:c r="H830" s="38" t="str">
        <x:v>Start content/service site and manual events before custom forum/community tech.</x:v>
      </x:c>
    </x:row>
    <x:row r="831" ht="48" customHeight="1">
      <x:c r="A831" s="60" t="str">
        <x:v>DOS-045</x:v>
      </x:c>
      <x:c r="B831" s="37" t="str">
        <x:v>ZAF Lessons, Workshops, Events, Forum + Blog</x:v>
      </x:c>
      <x:c r="C831" s="37" t="str">
        <x:v>FAM-33</x:v>
      </x:c>
      <x:c r="D831" s="37" t="str">
        <x:v>Location, scheduling &amp; service coordination</x:v>
      </x:c>
      <x:c r="E831" s="37" t="str">
        <x:v>Important</x:v>
      </x:c>
      <x:c r="F831" s="37" t="str">
        <x:v>Score after gates</x:v>
      </x:c>
      <x:c r="G831" s="37" t="str">
        <x:v>ZAF Lessons, Workshops, Events, Forum + Blog: Maps, appointments, resources, availability, or geographic service coordination.</x:v>
      </x:c>
      <x:c r="H831" s="38" t="str">
        <x:v>Start content/service site and manual events before custom forum/community tech.</x:v>
      </x:c>
    </x:row>
    <x:row r="832" ht="48" customHeight="1">
      <x:c r="A832" s="60" t="str">
        <x:v>DOS-045</x:v>
      </x:c>
      <x:c r="B832" s="37" t="str">
        <x:v>ZAF Lessons, Workshops, Events, Forum + Blog</x:v>
      </x:c>
      <x:c r="C832" s="37" t="str">
        <x:v>FAM-03</x:v>
      </x:c>
      <x:c r="D832" s="37" t="str">
        <x:v>Authentication, identity &amp; roles</x:v>
      </x:c>
      <x:c r="E832" s="37" t="str">
        <x:v>Expansion</x:v>
      </x:c>
      <x:c r="F832" s="37" t="str">
        <x:v>Flexible / later only</x:v>
      </x:c>
      <x:c r="G832" s="37" t="str">
        <x:v>ZAF Lessons, Workshops, Events, Forum + Blog: Sign-in, role-aware access, member identity, and permissions.</x:v>
      </x:c>
      <x:c r="H832" s="38" t="str">
        <x:v>Member area, courses, forum, premium events.</x:v>
      </x:c>
    </x:row>
    <x:row r="833" ht="48" customHeight="1">
      <x:c r="A833" s="60" t="str">
        <x:v>DOS-045</x:v>
      </x:c>
      <x:c r="B833" s="37" t="str">
        <x:v>ZAF Lessons, Workshops, Events, Forum + Blog</x:v>
      </x:c>
      <x:c r="C833" s="37" t="str">
        <x:v>FAM-04</x:v>
      </x:c>
      <x:c r="D833" s="37" t="str">
        <x:v>Profiles, portfolios &amp; relationship records</x:v>
      </x:c>
      <x:c r="E833" s="37" t="str">
        <x:v>Expansion</x:v>
      </x:c>
      <x:c r="F833" s="37" t="str">
        <x:v>Flexible / later only</x:v>
      </x:c>
      <x:c r="G833" s="37" t="str">
        <x:v>ZAF Lessons, Workshops, Events, Forum + Blog: Persistent user/member/creator profiles and linked relationships.</x:v>
      </x:c>
      <x:c r="H833" s="38" t="str">
        <x:v>Member area, courses, forum, premium events.</x:v>
      </x:c>
    </x:row>
    <x:row r="834" ht="48" customHeight="1">
      <x:c r="A834" s="60" t="str">
        <x:v>DOS-045</x:v>
      </x:c>
      <x:c r="B834" s="37" t="str">
        <x:v>ZAF Lessons, Workshops, Events, Forum + Blog</x:v>
      </x:c>
      <x:c r="C834" s="37" t="str">
        <x:v>FAM-12</x:v>
      </x:c>
      <x:c r="D834" s="37" t="str">
        <x:v>AI text generation, analysis &amp; agents</x:v>
      </x:c>
      <x:c r="E834" s="37" t="str">
        <x:v>Expansion</x:v>
      </x:c>
      <x:c r="F834" s="37" t="str">
        <x:v>Flexible / later only</x:v>
      </x:c>
      <x:c r="G834" s="37" t="str">
        <x:v>ZAF Lessons, Workshops, Events, Forum + Blog: Prompted generation, classification, summarization, reasoning, or assistant behavior.</x:v>
      </x:c>
      <x:c r="H834" s="38" t="str">
        <x:v>Member area, courses, forum, premium events.</x:v>
      </x:c>
    </x:row>
    <x:row r="835" ht="48" customHeight="1">
      <x:c r="A835" s="60" t="str">
        <x:v>DOS-045</x:v>
      </x:c>
      <x:c r="B835" s="37" t="str">
        <x:v>ZAF Lessons, Workshops, Events, Forum + Blog</x:v>
      </x:c>
      <x:c r="C835" s="37" t="str">
        <x:v>FAM-18</x:v>
      </x:c>
      <x:c r="D835" s="37" t="str">
        <x:v>Commerce, catalog &amp; fulfillment</x:v>
      </x:c>
      <x:c r="E835" s="37" t="str">
        <x:v>Expansion</x:v>
      </x:c>
      <x:c r="F835" s="37" t="str">
        <x:v>Flexible / later only</x:v>
      </x:c>
      <x:c r="G835" s="37" t="str">
        <x:v>ZAF Lessons, Workshops, Events, Forum + Blog: Product catalogs, ecommerce, orders, print-on-demand, and fulfillment integrations.</x:v>
      </x:c>
      <x:c r="H835" s="38" t="str">
        <x:v>Member area, courses, forum, premium events.</x:v>
      </x:c>
    </x:row>
    <x:row r="836" ht="48" customHeight="1">
      <x:c r="A836" s="60" t="str">
        <x:v>DOS-046</x:v>
      </x:c>
      <x:c r="B836" s="37" t="str">
        <x:v>Song, Setlist &amp; Collaboration Tools</x:v>
      </x:c>
      <x:c r="C836" s="37" t="str">
        <x:v>FAM-01</x:v>
      </x:c>
      <x:c r="D836" s="37" t="str">
        <x:v>Responsive web / PWA interface</x:v>
      </x:c>
      <x:c r="E836" s="37" t="str">
        <x:v>Must</x:v>
      </x:c>
      <x:c r="F836" s="37" t="str">
        <x:v>Strict-route gate</x:v>
      </x:c>
      <x:c r="G836" s="37" t="str">
        <x:v>Song, Setlist &amp; Collaboration Tools: Mobile-first responsive screens and app-like web navigation.</x:v>
      </x:c>
      <x:c r="H836" s="38" t="str">
        <x:v>One useful song/setlist recommendation tool with structured song data, saved choices, simple share/export.</x:v>
      </x:c>
    </x:row>
    <x:row r="837" ht="48" customHeight="1">
      <x:c r="A837" s="60" t="str">
        <x:v>DOS-046</x:v>
      </x:c>
      <x:c r="B837" s="37" t="str">
        <x:v>Song, Setlist &amp; Collaboration Tools</x:v>
      </x:c>
      <x:c r="C837" s="37" t="str">
        <x:v>FAM-05</x:v>
      </x:c>
      <x:c r="D837" s="37" t="str">
        <x:v>Structured database &amp; persistent records</x:v>
      </x:c>
      <x:c r="E837" s="37" t="str">
        <x:v>Must</x:v>
      </x:c>
      <x:c r="F837" s="37" t="str">
        <x:v>Strict-route gate</x:v>
      </x:c>
      <x:c r="G837" s="37" t="str">
        <x:v>Song, Setlist &amp; Collaboration Tools: Reliable structured data storage, retrieval, and updates.</x:v>
      </x:c>
      <x:c r="H837" s="38" t="str">
        <x:v>One useful song/setlist recommendation tool with structured song data, saved choices, simple share/export.</x:v>
      </x:c>
    </x:row>
    <x:row r="838" ht="48" customHeight="1">
      <x:c r="A838" s="60" t="str">
        <x:v>DOS-046</x:v>
      </x:c>
      <x:c r="B838" s="37" t="str">
        <x:v>Song, Setlist &amp; Collaboration Tools</x:v>
      </x:c>
      <x:c r="C838" s="37" t="str">
        <x:v>FAM-12</x:v>
      </x:c>
      <x:c r="D838" s="37" t="str">
        <x:v>AI text generation, analysis &amp; agents</x:v>
      </x:c>
      <x:c r="E838" s="37" t="str">
        <x:v>Must</x:v>
      </x:c>
      <x:c r="F838" s="37" t="str">
        <x:v>Strict-route gate</x:v>
      </x:c>
      <x:c r="G838" s="37" t="str">
        <x:v>Song, Setlist &amp; Collaboration Tools: Prompted generation, classification, summarization, reasoning, or assistant behavior.</x:v>
      </x:c>
      <x:c r="H838" s="38" t="str">
        <x:v>One useful song/setlist recommendation tool with structured song data, saved choices, simple share/export.</x:v>
      </x:c>
    </x:row>
    <x:row r="839" ht="48" customHeight="1">
      <x:c r="A839" s="60" t="str">
        <x:v>DOS-046</x:v>
      </x:c>
      <x:c r="B839" s="37" t="str">
        <x:v>Song, Setlist &amp; Collaboration Tools</x:v>
      </x:c>
      <x:c r="C839" s="37" t="str">
        <x:v>FAM-23</x:v>
      </x:c>
      <x:c r="D839" s="37" t="str">
        <x:v>Public website, SEO &amp; domain control</x:v>
      </x:c>
      <x:c r="E839" s="37" t="str">
        <x:v>Must</x:v>
      </x:c>
      <x:c r="F839" s="37" t="str">
        <x:v>Strict-route gate</x:v>
      </x:c>
      <x:c r="G839" s="37" t="str">
        <x:v>Song, Setlist &amp; Collaboration Tools: Public pages, discoverability, custom domain, shareability, and search metadata.</x:v>
      </x:c>
      <x:c r="H839" s="38" t="str">
        <x:v>One useful song/setlist recommendation tool with structured song data, saved choices, simple share/export.</x:v>
      </x:c>
    </x:row>
    <x:row r="840" ht="48" customHeight="1">
      <x:c r="A840" s="60" t="str">
        <x:v>DOS-046</x:v>
      </x:c>
      <x:c r="B840" s="37" t="str">
        <x:v>Song, Setlist &amp; Collaboration Tools</x:v>
      </x:c>
      <x:c r="C840" s="37" t="str">
        <x:v>FAM-24</x:v>
      </x:c>
      <x:c r="D840" s="37" t="str">
        <x:v>Export, publishing &amp; share routes</x:v>
      </x:c>
      <x:c r="E840" s="37" t="str">
        <x:v>Must</x:v>
      </x:c>
      <x:c r="F840" s="37" t="str">
        <x:v>Strict-route gate</x:v>
      </x:c>
      <x:c r="G840" s="37" t="str">
        <x:v>Song, Setlist &amp; Collaboration Tools: Download/export, social publishing, share links, and portable output packages.</x:v>
      </x:c>
      <x:c r="H840" s="38" t="str">
        <x:v>One useful song/setlist recommendation tool with structured song data, saved choices, simple share/export.</x:v>
      </x:c>
    </x:row>
    <x:row r="841" ht="48" customHeight="1">
      <x:c r="A841" s="60" t="str">
        <x:v>DOS-046</x:v>
      </x:c>
      <x:c r="B841" s="37" t="str">
        <x:v>Song, Setlist &amp; Collaboration Tools</x:v>
      </x:c>
      <x:c r="C841" s="37" t="str">
        <x:v>FAM-27</x:v>
      </x:c>
      <x:c r="D841" s="37" t="str">
        <x:v>Portability, ownership &amp; escape path</x:v>
      </x:c>
      <x:c r="E841" s="37" t="str">
        <x:v>Must</x:v>
      </x:c>
      <x:c r="F841" s="37" t="str">
        <x:v>Strict-route gate</x:v>
      </x:c>
      <x:c r="G841" s="37" t="str">
        <x:v>Song, Setlist &amp; Collaboration Tools: Code/data export, GitHub, custom domains, migration, and lock-in control.</x:v>
      </x:c>
      <x:c r="H841" s="38" t="str">
        <x:v>One useful song/setlist recommendation tool with structured song data, saved choices, simple share/export.</x:v>
      </x:c>
    </x:row>
    <x:row r="842" ht="48" customHeight="1">
      <x:c r="A842" s="60" t="str">
        <x:v>DOS-046</x:v>
      </x:c>
      <x:c r="B842" s="37" t="str">
        <x:v>Song, Setlist &amp; Collaboration Tools</x:v>
      </x:c>
      <x:c r="C842" s="37" t="str">
        <x:v>FAM-28</x:v>
      </x:c>
      <x:c r="D842" s="37" t="str">
        <x:v>Custom code &amp; extensibility</x:v>
      </x:c>
      <x:c r="E842" s="37" t="str">
        <x:v>Must</x:v>
      </x:c>
      <x:c r="F842" s="37" t="str">
        <x:v>Strict-route gate</x:v>
      </x:c>
      <x:c r="G842" s="37" t="str">
        <x:v>Song, Setlist &amp; Collaboration Tools: Ability to add bespoke logic, components, SDKs, or developer assistance.</x:v>
      </x:c>
      <x:c r="H842" s="38" t="str">
        <x:v>One useful song/setlist recommendation tool with structured song data, saved choices, simple share/export.</x:v>
      </x:c>
    </x:row>
    <x:row r="843" ht="48" customHeight="1">
      <x:c r="A843" s="60" t="str">
        <x:v>DOS-046</x:v>
      </x:c>
      <x:c r="B843" s="37" t="str">
        <x:v>Song, Setlist &amp; Collaboration Tools</x:v>
      </x:c>
      <x:c r="C843" s="37" t="str">
        <x:v>FAM-02</x:v>
      </x:c>
      <x:c r="D843" s="37" t="str">
        <x:v>Android/mobile builder workability</x:v>
      </x:c>
      <x:c r="E843" s="37" t="str">
        <x:v>Important</x:v>
      </x:c>
      <x:c r="F843" s="37" t="str">
        <x:v>Score after gates</x:v>
      </x:c>
      <x:c r="G843" s="37" t="str">
        <x:v>Song, Setlist &amp; Collaboration Tools: Derek can build, edit, preview, test, and deploy with reasonable Android/mobile friction.</x:v>
      </x:c>
      <x:c r="H843" s="38" t="str">
        <x:v>Start one utility and external data/link workflows; defer broad music intelligence.</x:v>
      </x:c>
    </x:row>
    <x:row r="844" ht="48" customHeight="1">
      <x:c r="A844" s="60" t="str">
        <x:v>DOS-046</x:v>
      </x:c>
      <x:c r="B844" s="37" t="str">
        <x:v>Song, Setlist &amp; Collaboration Tools</x:v>
      </x:c>
      <x:c r="C844" s="37" t="str">
        <x:v>FAM-03</x:v>
      </x:c>
      <x:c r="D844" s="37" t="str">
        <x:v>Authentication, identity &amp; roles</x:v>
      </x:c>
      <x:c r="E844" s="37" t="str">
        <x:v>Important</x:v>
      </x:c>
      <x:c r="F844" s="37" t="str">
        <x:v>Score after gates</x:v>
      </x:c>
      <x:c r="G844" s="37" t="str">
        <x:v>Song, Setlist &amp; Collaboration Tools: Sign-in, role-aware access, member identity, and permissions.</x:v>
      </x:c>
      <x:c r="H844" s="38" t="str">
        <x:v>Start one utility and external data/link workflows; defer broad music intelligence.</x:v>
      </x:c>
    </x:row>
    <x:row r="845" ht="48" customHeight="1">
      <x:c r="A845" s="60" t="str">
        <x:v>DOS-046</x:v>
      </x:c>
      <x:c r="B845" s="37" t="str">
        <x:v>Song, Setlist &amp; Collaboration Tools</x:v>
      </x:c>
      <x:c r="C845" s="37" t="str">
        <x:v>FAM-13</x:v>
      </x:c>
      <x:c r="D845" s="37" t="str">
        <x:v>OCR &amp; structured extraction</x:v>
      </x:c>
      <x:c r="E845" s="37" t="str">
        <x:v>Important</x:v>
      </x:c>
      <x:c r="F845" s="37" t="str">
        <x:v>Score after gates</x:v>
      </x:c>
      <x:c r="G845" s="37" t="str">
        <x:v>Song, Setlist &amp; Collaboration Tools: Extract fields from screenshots, documents, receipts, or messy content.</x:v>
      </x:c>
      <x:c r="H845" s="38" t="str">
        <x:v>Start one utility and external data/link workflows; defer broad music intelligence.</x:v>
      </x:c>
    </x:row>
    <x:row r="846" ht="48" customHeight="1">
      <x:c r="A846" s="60" t="str">
        <x:v>DOS-046</x:v>
      </x:c>
      <x:c r="B846" s="37" t="str">
        <x:v>Song, Setlist &amp; Collaboration Tools</x:v>
      </x:c>
      <x:c r="C846" s="37" t="str">
        <x:v>FAM-14</x:v>
      </x:c>
      <x:c r="D846" s="37" t="str">
        <x:v>Personalization, memory &amp; preferences</x:v>
      </x:c>
      <x:c r="E846" s="37" t="str">
        <x:v>Important</x:v>
      </x:c>
      <x:c r="F846" s="37" t="str">
        <x:v>Score after gates</x:v>
      </x:c>
      <x:c r="G846" s="37" t="str">
        <x:v>Song, Setlist &amp; Collaboration Tools: Saved preferences, history, source memory, and adaptive outputs.</x:v>
      </x:c>
      <x:c r="H846" s="38" t="str">
        <x:v>Start one utility and external data/link workflows; defer broad music intelligence.</x:v>
      </x:c>
    </x:row>
    <x:row r="847" ht="48" customHeight="1">
      <x:c r="A847" s="60" t="str">
        <x:v>DOS-046</x:v>
      </x:c>
      <x:c r="B847" s="37" t="str">
        <x:v>Song, Setlist &amp; Collaboration Tools</x:v>
      </x:c>
      <x:c r="C847" s="37" t="str">
        <x:v>FAM-17</x:v>
      </x:c>
      <x:c r="D847" s="37" t="str">
        <x:v>Payments, subscriptions &amp; billing</x:v>
      </x:c>
      <x:c r="E847" s="37" t="str">
        <x:v>Important</x:v>
      </x:c>
      <x:c r="F847" s="37" t="str">
        <x:v>Score after gates</x:v>
      </x:c>
      <x:c r="G847" s="37" t="str">
        <x:v>Song, Setlist &amp; Collaboration Tools: Payments, subscriptions, checkout, entitlements, and billing-aware workflows.</x:v>
      </x:c>
      <x:c r="H847" s="38" t="str">
        <x:v>Start one utility and external data/link workflows; defer broad music intelligence.</x:v>
      </x:c>
    </x:row>
    <x:row r="848" ht="48" customHeight="1">
      <x:c r="A848" s="60" t="str">
        <x:v>DOS-046</x:v>
      </x:c>
      <x:c r="B848" s="37" t="str">
        <x:v>Song, Setlist &amp; Collaboration Tools</x:v>
      </x:c>
      <x:c r="C848" s="37" t="str">
        <x:v>FAM-25</x:v>
      </x:c>
      <x:c r="D848" s="37" t="str">
        <x:v>Analytics, reporting &amp; decision dashboards</x:v>
      </x:c>
      <x:c r="E848" s="37" t="str">
        <x:v>Important</x:v>
      </x:c>
      <x:c r="F848" s="37" t="str">
        <x:v>Score after gates</x:v>
      </x:c>
      <x:c r="G848" s="37" t="str">
        <x:v>Song, Setlist &amp; Collaboration Tools: Usage metrics, charts, rankings, reporting, and decision support.</x:v>
      </x:c>
      <x:c r="H848" s="38" t="str">
        <x:v>Start one utility and external data/link workflows; defer broad music intelligence.</x:v>
      </x:c>
    </x:row>
    <x:row r="849" ht="48" customHeight="1">
      <x:c r="A849" s="60" t="str">
        <x:v>DOS-046</x:v>
      </x:c>
      <x:c r="B849" s="37" t="str">
        <x:v>Song, Setlist &amp; Collaboration Tools</x:v>
      </x:c>
      <x:c r="C849" s="37" t="str">
        <x:v>FAM-29</x:v>
      </x:c>
      <x:c r="D849" s="37" t="str">
        <x:v>Backend functions, APIs &amp; background compute</x:v>
      </x:c>
      <x:c r="E849" s="37" t="str">
        <x:v>Important</x:v>
      </x:c>
      <x:c r="F849" s="37" t="str">
        <x:v>Score after gates</x:v>
      </x:c>
      <x:c r="G849" s="37" t="str">
        <x:v>Song, Setlist &amp; Collaboration Tools: Server functions, secure APIs, logs, queues, scheduled tasks, and secrets.</x:v>
      </x:c>
      <x:c r="H849" s="38" t="str">
        <x:v>Start one utility and external data/link workflows; defer broad music intelligence.</x:v>
      </x:c>
    </x:row>
    <x:row r="850" ht="48" customHeight="1">
      <x:c r="A850" s="60" t="str">
        <x:v>DOS-046</x:v>
      </x:c>
      <x:c r="B850" s="37" t="str">
        <x:v>Song, Setlist &amp; Collaboration Tools</x:v>
      </x:c>
      <x:c r="C850" s="37" t="str">
        <x:v>FAM-35</x:v>
      </x:c>
      <x:c r="D850" s="37" t="str">
        <x:v>Privacy, consent &amp; audit trail</x:v>
      </x:c>
      <x:c r="E850" s="37" t="str">
        <x:v>Important</x:v>
      </x:c>
      <x:c r="F850" s="37" t="str">
        <x:v>Score after gates</x:v>
      </x:c>
      <x:c r="G850" s="37" t="str">
        <x:v>Song, Setlist &amp; Collaboration Tools: Consent, retention, access controls, provenance, and auditable actions.</x:v>
      </x:c>
      <x:c r="H850" s="38" t="str">
        <x:v>Start one utility and external data/link workflows; defer broad music intelligence.</x:v>
      </x:c>
    </x:row>
    <x:row r="851" ht="48" customHeight="1">
      <x:c r="A851" s="60" t="str">
        <x:v>DOS-046</x:v>
      </x:c>
      <x:c r="B851" s="37" t="str">
        <x:v>Song, Setlist &amp; Collaboration Tools</x:v>
      </x:c>
      <x:c r="C851" s="37" t="str">
        <x:v>FAM-15</x:v>
      </x:c>
      <x:c r="D851" s="37" t="str">
        <x:v>Social, realtime &amp; collaboration</x:v>
      </x:c>
      <x:c r="E851" s="37" t="str">
        <x:v>Expansion</x:v>
      </x:c>
      <x:c r="F851" s="37" t="str">
        <x:v>Flexible / later only</x:v>
      </x:c>
      <x:c r="G851" s="37" t="str">
        <x:v>Song, Setlist &amp; Collaboration Tools: Feeds, messaging, groups, sharing, realtime updates, or multi-user creation.</x:v>
      </x:c>
      <x:c r="H851" s="38" t="str">
        <x:v>Warmup coach, harmony engine, duet planner, ecosystem handoff.</x:v>
      </x:c>
    </x:row>
    <x:row r="852" ht="48" customHeight="1">
      <x:c r="A852" s="60" t="str">
        <x:v>DOS-046</x:v>
      </x:c>
      <x:c r="B852" s="37" t="str">
        <x:v>Song, Setlist &amp; Collaboration Tools</x:v>
      </x:c>
      <x:c r="C852" s="37" t="str">
        <x:v>FAM-20</x:v>
      </x:c>
      <x:c r="D852" s="37" t="str">
        <x:v>Notifications, reminders &amp; deadlines</x:v>
      </x:c>
      <x:c r="E852" s="37" t="str">
        <x:v>Expansion</x:v>
      </x:c>
      <x:c r="F852" s="37" t="str">
        <x:v>Flexible / later only</x:v>
      </x:c>
      <x:c r="G852" s="37" t="str">
        <x:v>Song, Setlist &amp; Collaboration Tools: Push/email/in-app reminders, scheduled tasks, and time-bound flows.</x:v>
      </x:c>
      <x:c r="H852" s="38" t="str">
        <x:v>Warmup coach, harmony engine, duet planner, ecosystem handoff.</x:v>
      </x:c>
    </x:row>
    <x:row r="853" ht="48" customHeight="1">
      <x:c r="A853" s="60" t="str">
        <x:v>DOS-046</x:v>
      </x:c>
      <x:c r="B853" s="37" t="str">
        <x:v>Song, Setlist &amp; Collaboration Tools</x:v>
      </x:c>
      <x:c r="C853" s="37" t="str">
        <x:v>FAM-32</x:v>
      </x:c>
      <x:c r="D853" s="37" t="str">
        <x:v>Marketplace, templates &amp; creator assets</x:v>
      </x:c>
      <x:c r="E853" s="37" t="str">
        <x:v>Expansion</x:v>
      </x:c>
      <x:c r="F853" s="37" t="str">
        <x:v>Flexible / later only</x:v>
      </x:c>
      <x:c r="G853" s="37" t="str">
        <x:v>Song, Setlist &amp; Collaboration Tools: Listings, reusable assets, creator publishing, reviews, and marketplace rules.</x:v>
      </x:c>
      <x:c r="H853" s="38" t="str">
        <x:v>Warmup coach, harmony engine, duet planner, ecosystem handoff.</x:v>
      </x:c>
    </x:row>
    <x:row r="854" ht="48" customHeight="1">
      <x:c r="A854" s="60" t="str">
        <x:v>DOS-046</x:v>
      </x:c>
      <x:c r="B854" s="37" t="str">
        <x:v>Song, Setlist &amp; Collaboration Tools</x:v>
      </x:c>
      <x:c r="C854" s="37" t="str">
        <x:v>FAM-36</x:v>
      </x:c>
      <x:c r="D854" s="37" t="str">
        <x:v>Scoring, ranking &amp; matching logic</x:v>
      </x:c>
      <x:c r="E854" s="37" t="str">
        <x:v>Expansion</x:v>
      </x:c>
      <x:c r="F854" s="37" t="str">
        <x:v>Flexible / later only</x:v>
      </x:c>
      <x:c r="G854" s="37" t="str">
        <x:v>Song, Setlist &amp; Collaboration Tools: Transparent scorecards, requirements matching, routes, and tie-break explanations.</x:v>
      </x:c>
      <x:c r="H854" s="38" t="str">
        <x:v>Warmup coach, harmony engine, duet planner, ecosystem handoff.</x:v>
      </x:c>
    </x:row>
    <x:row r="855" ht="48" customHeight="1">
      <x:c r="A855" s="60" t="str">
        <x:v>DOS-047</x:v>
      </x:c>
      <x:c r="B855" s="37" t="str">
        <x:v>ZAF Vocal Warmup Coach</x:v>
      </x:c>
      <x:c r="C855" s="37" t="str">
        <x:v>FAM-01</x:v>
      </x:c>
      <x:c r="D855" s="37" t="str">
        <x:v>Responsive web / PWA interface</x:v>
      </x:c>
      <x:c r="E855" s="37" t="str">
        <x:v>Must</x:v>
      </x:c>
      <x:c r="F855" s="37" t="str">
        <x:v>Strict-route gate</x:v>
      </x:c>
      <x:c r="G855" s="37" t="str">
        <x:v>ZAF Vocal Warmup Coach: Mobile-first responsive screens and app-like web navigation.</x:v>
      </x:c>
      <x:c r="H855" s="38" t="str">
        <x:v>Song/range/context intake, time-boxed routine, safe coaching content, saved routines.</x:v>
      </x:c>
    </x:row>
    <x:row r="856" ht="48" customHeight="1">
      <x:c r="A856" s="60" t="str">
        <x:v>DOS-047</x:v>
      </x:c>
      <x:c r="B856" s="37" t="str">
        <x:v>ZAF Vocal Warmup Coach</x:v>
      </x:c>
      <x:c r="C856" s="37" t="str">
        <x:v>FAM-05</x:v>
      </x:c>
      <x:c r="D856" s="37" t="str">
        <x:v>Structured database &amp; persistent records</x:v>
      </x:c>
      <x:c r="E856" s="37" t="str">
        <x:v>Must</x:v>
      </x:c>
      <x:c r="F856" s="37" t="str">
        <x:v>Strict-route gate</x:v>
      </x:c>
      <x:c r="G856" s="37" t="str">
        <x:v>ZAF Vocal Warmup Coach: Reliable structured data storage, retrieval, and updates.</x:v>
      </x:c>
      <x:c r="H856" s="38" t="str">
        <x:v>Song/range/context intake, time-boxed routine, safe coaching content, saved routines.</x:v>
      </x:c>
    </x:row>
    <x:row r="857" ht="48" customHeight="1">
      <x:c r="A857" s="60" t="str">
        <x:v>DOS-047</x:v>
      </x:c>
      <x:c r="B857" s="37" t="str">
        <x:v>ZAF Vocal Warmup Coach</x:v>
      </x:c>
      <x:c r="C857" s="37" t="str">
        <x:v>FAM-12</x:v>
      </x:c>
      <x:c r="D857" s="37" t="str">
        <x:v>AI text generation, analysis &amp; agents</x:v>
      </x:c>
      <x:c r="E857" s="37" t="str">
        <x:v>Must</x:v>
      </x:c>
      <x:c r="F857" s="37" t="str">
        <x:v>Strict-route gate</x:v>
      </x:c>
      <x:c r="G857" s="37" t="str">
        <x:v>ZAF Vocal Warmup Coach: Prompted generation, classification, summarization, reasoning, or assistant behavior.</x:v>
      </x:c>
      <x:c r="H857" s="38" t="str">
        <x:v>Song/range/context intake, time-boxed routine, safe coaching content, saved routines.</x:v>
      </x:c>
    </x:row>
    <x:row r="858" ht="48" customHeight="1">
      <x:c r="A858" s="60" t="str">
        <x:v>DOS-047</x:v>
      </x:c>
      <x:c r="B858" s="37" t="str">
        <x:v>ZAF Vocal Warmup Coach</x:v>
      </x:c>
      <x:c r="C858" s="37" t="str">
        <x:v>FAM-23</x:v>
      </x:c>
      <x:c r="D858" s="37" t="str">
        <x:v>Public website, SEO &amp; domain control</x:v>
      </x:c>
      <x:c r="E858" s="37" t="str">
        <x:v>Must</x:v>
      </x:c>
      <x:c r="F858" s="37" t="str">
        <x:v>Strict-route gate</x:v>
      </x:c>
      <x:c r="G858" s="37" t="str">
        <x:v>ZAF Vocal Warmup Coach: Public pages, discoverability, custom domain, shareability, and search metadata.</x:v>
      </x:c>
      <x:c r="H858" s="38" t="str">
        <x:v>Song/range/context intake, time-boxed routine, safe coaching content, saved routines.</x:v>
      </x:c>
    </x:row>
    <x:row r="859" ht="48" customHeight="1">
      <x:c r="A859" s="60" t="str">
        <x:v>DOS-047</x:v>
      </x:c>
      <x:c r="B859" s="37" t="str">
        <x:v>ZAF Vocal Warmup Coach</x:v>
      </x:c>
      <x:c r="C859" s="37" t="str">
        <x:v>FAM-24</x:v>
      </x:c>
      <x:c r="D859" s="37" t="str">
        <x:v>Export, publishing &amp; share routes</x:v>
      </x:c>
      <x:c r="E859" s="37" t="str">
        <x:v>Must</x:v>
      </x:c>
      <x:c r="F859" s="37" t="str">
        <x:v>Strict-route gate</x:v>
      </x:c>
      <x:c r="G859" s="37" t="str">
        <x:v>ZAF Vocal Warmup Coach: Download/export, social publishing, share links, and portable output packages.</x:v>
      </x:c>
      <x:c r="H859" s="38" t="str">
        <x:v>Song/range/context intake, time-boxed routine, safe coaching content, saved routines.</x:v>
      </x:c>
    </x:row>
    <x:row r="860" ht="48" customHeight="1">
      <x:c r="A860" s="60" t="str">
        <x:v>DOS-047</x:v>
      </x:c>
      <x:c r="B860" s="37" t="str">
        <x:v>ZAF Vocal Warmup Coach</x:v>
      </x:c>
      <x:c r="C860" s="37" t="str">
        <x:v>FAM-27</x:v>
      </x:c>
      <x:c r="D860" s="37" t="str">
        <x:v>Portability, ownership &amp; escape path</x:v>
      </x:c>
      <x:c r="E860" s="37" t="str">
        <x:v>Must</x:v>
      </x:c>
      <x:c r="F860" s="37" t="str">
        <x:v>Strict-route gate</x:v>
      </x:c>
      <x:c r="G860" s="37" t="str">
        <x:v>ZAF Vocal Warmup Coach: Code/data export, GitHub, custom domains, migration, and lock-in control.</x:v>
      </x:c>
      <x:c r="H860" s="38" t="str">
        <x:v>Song/range/context intake, time-boxed routine, safe coaching content, saved routines.</x:v>
      </x:c>
    </x:row>
    <x:row r="861" ht="48" customHeight="1">
      <x:c r="A861" s="60" t="str">
        <x:v>DOS-047</x:v>
      </x:c>
      <x:c r="B861" s="37" t="str">
        <x:v>ZAF Vocal Warmup Coach</x:v>
      </x:c>
      <x:c r="C861" s="37" t="str">
        <x:v>FAM-28</x:v>
      </x:c>
      <x:c r="D861" s="37" t="str">
        <x:v>Custom code &amp; extensibility</x:v>
      </x:c>
      <x:c r="E861" s="37" t="str">
        <x:v>Must</x:v>
      </x:c>
      <x:c r="F861" s="37" t="str">
        <x:v>Strict-route gate</x:v>
      </x:c>
      <x:c r="G861" s="37" t="str">
        <x:v>ZAF Vocal Warmup Coach: Ability to add bespoke logic, components, SDKs, or developer assistance.</x:v>
      </x:c>
      <x:c r="H861" s="38" t="str">
        <x:v>Song/range/context intake, time-boxed routine, safe coaching content, saved routines.</x:v>
      </x:c>
    </x:row>
    <x:row r="862" ht="48" customHeight="1">
      <x:c r="A862" s="60" t="str">
        <x:v>DOS-047</x:v>
      </x:c>
      <x:c r="B862" s="37" t="str">
        <x:v>ZAF Vocal Warmup Coach</x:v>
      </x:c>
      <x:c r="C862" s="37" t="str">
        <x:v>FAM-02</x:v>
      </x:c>
      <x:c r="D862" s="37" t="str">
        <x:v>Android/mobile builder workability</x:v>
      </x:c>
      <x:c r="E862" s="37" t="str">
        <x:v>Important</x:v>
      </x:c>
      <x:c r="F862" s="37" t="str">
        <x:v>Score after gates</x:v>
      </x:c>
      <x:c r="G862" s="37" t="str">
        <x:v>ZAF Vocal Warmup Coach: Derek can build, edit, preview, test, and deploy with reasonable Android/mobile friction.</x:v>
      </x:c>
      <x:c r="H862" s="38" t="str">
        <x:v>Start non-diagnostic/general guidance; defer voice analysis and health claims.</x:v>
      </x:c>
    </x:row>
    <x:row r="863" ht="48" customHeight="1">
      <x:c r="A863" s="60" t="str">
        <x:v>DOS-047</x:v>
      </x:c>
      <x:c r="B863" s="37" t="str">
        <x:v>ZAF Vocal Warmup Coach</x:v>
      </x:c>
      <x:c r="C863" s="37" t="str">
        <x:v>FAM-03</x:v>
      </x:c>
      <x:c r="D863" s="37" t="str">
        <x:v>Authentication, identity &amp; roles</x:v>
      </x:c>
      <x:c r="E863" s="37" t="str">
        <x:v>Important</x:v>
      </x:c>
      <x:c r="F863" s="37" t="str">
        <x:v>Score after gates</x:v>
      </x:c>
      <x:c r="G863" s="37" t="str">
        <x:v>ZAF Vocal Warmup Coach: Sign-in, role-aware access, member identity, and permissions.</x:v>
      </x:c>
      <x:c r="H863" s="38" t="str">
        <x:v>Start non-diagnostic/general guidance; defer voice analysis and health claims.</x:v>
      </x:c>
    </x:row>
    <x:row r="864" ht="48" customHeight="1">
      <x:c r="A864" s="60" t="str">
        <x:v>DOS-047</x:v>
      </x:c>
      <x:c r="B864" s="37" t="str">
        <x:v>ZAF Vocal Warmup Coach</x:v>
      </x:c>
      <x:c r="C864" s="37" t="str">
        <x:v>FAM-13</x:v>
      </x:c>
      <x:c r="D864" s="37" t="str">
        <x:v>OCR &amp; structured extraction</x:v>
      </x:c>
      <x:c r="E864" s="37" t="str">
        <x:v>Important</x:v>
      </x:c>
      <x:c r="F864" s="37" t="str">
        <x:v>Score after gates</x:v>
      </x:c>
      <x:c r="G864" s="37" t="str">
        <x:v>ZAF Vocal Warmup Coach: Extract fields from screenshots, documents, receipts, or messy content.</x:v>
      </x:c>
      <x:c r="H864" s="38" t="str">
        <x:v>Start non-diagnostic/general guidance; defer voice analysis and health claims.</x:v>
      </x:c>
    </x:row>
    <x:row r="865" ht="48" customHeight="1">
      <x:c r="A865" s="60" t="str">
        <x:v>DOS-047</x:v>
      </x:c>
      <x:c r="B865" s="37" t="str">
        <x:v>ZAF Vocal Warmup Coach</x:v>
      </x:c>
      <x:c r="C865" s="37" t="str">
        <x:v>FAM-14</x:v>
      </x:c>
      <x:c r="D865" s="37" t="str">
        <x:v>Personalization, memory &amp; preferences</x:v>
      </x:c>
      <x:c r="E865" s="37" t="str">
        <x:v>Important</x:v>
      </x:c>
      <x:c r="F865" s="37" t="str">
        <x:v>Score after gates</x:v>
      </x:c>
      <x:c r="G865" s="37" t="str">
        <x:v>ZAF Vocal Warmup Coach: Saved preferences, history, source memory, and adaptive outputs.</x:v>
      </x:c>
      <x:c r="H865" s="38" t="str">
        <x:v>Start non-diagnostic/general guidance; defer voice analysis and health claims.</x:v>
      </x:c>
    </x:row>
    <x:row r="866" ht="48" customHeight="1">
      <x:c r="A866" s="60" t="str">
        <x:v>DOS-047</x:v>
      </x:c>
      <x:c r="B866" s="37" t="str">
        <x:v>ZAF Vocal Warmup Coach</x:v>
      </x:c>
      <x:c r="C866" s="37" t="str">
        <x:v>FAM-17</x:v>
      </x:c>
      <x:c r="D866" s="37" t="str">
        <x:v>Payments, subscriptions &amp; billing</x:v>
      </x:c>
      <x:c r="E866" s="37" t="str">
        <x:v>Important</x:v>
      </x:c>
      <x:c r="F866" s="37" t="str">
        <x:v>Score after gates</x:v>
      </x:c>
      <x:c r="G866" s="37" t="str">
        <x:v>ZAF Vocal Warmup Coach: Payments, subscriptions, checkout, entitlements, and billing-aware workflows.</x:v>
      </x:c>
      <x:c r="H866" s="38" t="str">
        <x:v>Start non-diagnostic/general guidance; defer voice analysis and health claims.</x:v>
      </x:c>
    </x:row>
    <x:row r="867" ht="48" customHeight="1">
      <x:c r="A867" s="60" t="str">
        <x:v>DOS-047</x:v>
      </x:c>
      <x:c r="B867" s="37" t="str">
        <x:v>ZAF Vocal Warmup Coach</x:v>
      </x:c>
      <x:c r="C867" s="37" t="str">
        <x:v>FAM-25</x:v>
      </x:c>
      <x:c r="D867" s="37" t="str">
        <x:v>Analytics, reporting &amp; decision dashboards</x:v>
      </x:c>
      <x:c r="E867" s="37" t="str">
        <x:v>Important</x:v>
      </x:c>
      <x:c r="F867" s="37" t="str">
        <x:v>Score after gates</x:v>
      </x:c>
      <x:c r="G867" s="37" t="str">
        <x:v>ZAF Vocal Warmup Coach: Usage metrics, charts, rankings, reporting, and decision support.</x:v>
      </x:c>
      <x:c r="H867" s="38" t="str">
        <x:v>Start non-diagnostic/general guidance; defer voice analysis and health claims.</x:v>
      </x:c>
    </x:row>
    <x:row r="868" ht="48" customHeight="1">
      <x:c r="A868" s="60" t="str">
        <x:v>DOS-047</x:v>
      </x:c>
      <x:c r="B868" s="37" t="str">
        <x:v>ZAF Vocal Warmup Coach</x:v>
      </x:c>
      <x:c r="C868" s="37" t="str">
        <x:v>FAM-29</x:v>
      </x:c>
      <x:c r="D868" s="37" t="str">
        <x:v>Backend functions, APIs &amp; background compute</x:v>
      </x:c>
      <x:c r="E868" s="37" t="str">
        <x:v>Important</x:v>
      </x:c>
      <x:c r="F868" s="37" t="str">
        <x:v>Score after gates</x:v>
      </x:c>
      <x:c r="G868" s="37" t="str">
        <x:v>ZAF Vocal Warmup Coach: Server functions, secure APIs, logs, queues, scheduled tasks, and secrets.</x:v>
      </x:c>
      <x:c r="H868" s="38" t="str">
        <x:v>Start non-diagnostic/general guidance; defer voice analysis and health claims.</x:v>
      </x:c>
    </x:row>
    <x:row r="869" ht="48" customHeight="1">
      <x:c r="A869" s="60" t="str">
        <x:v>DOS-047</x:v>
      </x:c>
      <x:c r="B869" s="37" t="str">
        <x:v>ZAF Vocal Warmup Coach</x:v>
      </x:c>
      <x:c r="C869" s="37" t="str">
        <x:v>FAM-35</x:v>
      </x:c>
      <x:c r="D869" s="37" t="str">
        <x:v>Privacy, consent &amp; audit trail</x:v>
      </x:c>
      <x:c r="E869" s="37" t="str">
        <x:v>Important</x:v>
      </x:c>
      <x:c r="F869" s="37" t="str">
        <x:v>Score after gates</x:v>
      </x:c>
      <x:c r="G869" s="37" t="str">
        <x:v>ZAF Vocal Warmup Coach: Consent, retention, access controls, provenance, and auditable actions.</x:v>
      </x:c>
      <x:c r="H869" s="38" t="str">
        <x:v>Start non-diagnostic/general guidance; defer voice analysis and health claims.</x:v>
      </x:c>
    </x:row>
    <x:row r="870" ht="48" customHeight="1">
      <x:c r="A870" s="60" t="str">
        <x:v>DOS-047</x:v>
      </x:c>
      <x:c r="B870" s="37" t="str">
        <x:v>ZAF Vocal Warmup Coach</x:v>
      </x:c>
      <x:c r="C870" s="37" t="str">
        <x:v>FAM-15</x:v>
      </x:c>
      <x:c r="D870" s="37" t="str">
        <x:v>Social, realtime &amp; collaboration</x:v>
      </x:c>
      <x:c r="E870" s="37" t="str">
        <x:v>Expansion</x:v>
      </x:c>
      <x:c r="F870" s="37" t="str">
        <x:v>Flexible / later only</x:v>
      </x:c>
      <x:c r="G870" s="37" t="str">
        <x:v>ZAF Vocal Warmup Coach: Feeds, messaging, groups, sharing, realtime updates, or multi-user creation.</x:v>
      </x:c>
      <x:c r="H870" s="38" t="str">
        <x:v>Range calibration, audio feedback, KaraokeDokie handoff.</x:v>
      </x:c>
    </x:row>
    <x:row r="871" ht="48" customHeight="1">
      <x:c r="A871" s="60" t="str">
        <x:v>DOS-047</x:v>
      </x:c>
      <x:c r="B871" s="37" t="str">
        <x:v>ZAF Vocal Warmup Coach</x:v>
      </x:c>
      <x:c r="C871" s="37" t="str">
        <x:v>FAM-20</x:v>
      </x:c>
      <x:c r="D871" s="37" t="str">
        <x:v>Notifications, reminders &amp; deadlines</x:v>
      </x:c>
      <x:c r="E871" s="37" t="str">
        <x:v>Expansion</x:v>
      </x:c>
      <x:c r="F871" s="37" t="str">
        <x:v>Flexible / later only</x:v>
      </x:c>
      <x:c r="G871" s="37" t="str">
        <x:v>ZAF Vocal Warmup Coach: Push/email/in-app reminders, scheduled tasks, and time-bound flows.</x:v>
      </x:c>
      <x:c r="H871" s="38" t="str">
        <x:v>Range calibration, audio feedback, KaraokeDokie handoff.</x:v>
      </x:c>
    </x:row>
    <x:row r="872" ht="48" customHeight="1">
      <x:c r="A872" s="60" t="str">
        <x:v>DOS-047</x:v>
      </x:c>
      <x:c r="B872" s="37" t="str">
        <x:v>ZAF Vocal Warmup Coach</x:v>
      </x:c>
      <x:c r="C872" s="37" t="str">
        <x:v>FAM-32</x:v>
      </x:c>
      <x:c r="D872" s="37" t="str">
        <x:v>Marketplace, templates &amp; creator assets</x:v>
      </x:c>
      <x:c r="E872" s="37" t="str">
        <x:v>Expansion</x:v>
      </x:c>
      <x:c r="F872" s="37" t="str">
        <x:v>Flexible / later only</x:v>
      </x:c>
      <x:c r="G872" s="37" t="str">
        <x:v>ZAF Vocal Warmup Coach: Listings, reusable assets, creator publishing, reviews, and marketplace rules.</x:v>
      </x:c>
      <x:c r="H872" s="38" t="str">
        <x:v>Range calibration, audio feedback, KaraokeDokie handoff.</x:v>
      </x:c>
    </x:row>
    <x:row r="873" ht="48" customHeight="1">
      <x:c r="A873" s="60" t="str">
        <x:v>DOS-047</x:v>
      </x:c>
      <x:c r="B873" s="37" t="str">
        <x:v>ZAF Vocal Warmup Coach</x:v>
      </x:c>
      <x:c r="C873" s="37" t="str">
        <x:v>FAM-36</x:v>
      </x:c>
      <x:c r="D873" s="37" t="str">
        <x:v>Scoring, ranking &amp; matching logic</x:v>
      </x:c>
      <x:c r="E873" s="37" t="str">
        <x:v>Expansion</x:v>
      </x:c>
      <x:c r="F873" s="37" t="str">
        <x:v>Flexible / later only</x:v>
      </x:c>
      <x:c r="G873" s="37" t="str">
        <x:v>ZAF Vocal Warmup Coach: Transparent scorecards, requirements matching, routes, and tie-break explanations.</x:v>
      </x:c>
      <x:c r="H873" s="38" t="str">
        <x:v>Range calibration, audio feedback, KaraokeDokie handoff.</x:v>
      </x:c>
    </x:row>
    <x:row r="874" ht="48" customHeight="1">
      <x:c r="A874" s="60" t="str">
        <x:v>DOS-048</x:v>
      </x:c>
      <x:c r="B874" s="37" t="str">
        <x:v>ZAF Lyric Mashup &amp; Creative Tools</x:v>
      </x:c>
      <x:c r="C874" s="37" t="str">
        <x:v>FAM-01</x:v>
      </x:c>
      <x:c r="D874" s="37" t="str">
        <x:v>Responsive web / PWA interface</x:v>
      </x:c>
      <x:c r="E874" s="37" t="str">
        <x:v>Must</x:v>
      </x:c>
      <x:c r="F874" s="37" t="str">
        <x:v>Strict-route gate</x:v>
      </x:c>
      <x:c r="G874" s="37" t="str">
        <x:v>ZAF Lyric Mashup &amp; Creative Tools: Mobile-first responsive screens and app-like web navigation.</x:v>
      </x:c>
      <x:c r="H874" s="38" t="str">
        <x:v>Define permitted source/rights rules, concept prompts, transformation outputs, save/export.</x:v>
      </x:c>
    </x:row>
    <x:row r="875" ht="48" customHeight="1">
      <x:c r="A875" s="60" t="str">
        <x:v>DOS-048</x:v>
      </x:c>
      <x:c r="B875" s="37" t="str">
        <x:v>ZAF Lyric Mashup &amp; Creative Tools</x:v>
      </x:c>
      <x:c r="C875" s="37" t="str">
        <x:v>FAM-05</x:v>
      </x:c>
      <x:c r="D875" s="37" t="str">
        <x:v>Structured database &amp; persistent records</x:v>
      </x:c>
      <x:c r="E875" s="37" t="str">
        <x:v>Must</x:v>
      </x:c>
      <x:c r="F875" s="37" t="str">
        <x:v>Strict-route gate</x:v>
      </x:c>
      <x:c r="G875" s="37" t="str">
        <x:v>ZAF Lyric Mashup &amp; Creative Tools: Reliable structured data storage, retrieval, and updates.</x:v>
      </x:c>
      <x:c r="H875" s="38" t="str">
        <x:v>Define permitted source/rights rules, concept prompts, transformation outputs, save/export.</x:v>
      </x:c>
    </x:row>
    <x:row r="876" ht="48" customHeight="1">
      <x:c r="A876" s="60" t="str">
        <x:v>DOS-048</x:v>
      </x:c>
      <x:c r="B876" s="37" t="str">
        <x:v>ZAF Lyric Mashup &amp; Creative Tools</x:v>
      </x:c>
      <x:c r="C876" s="37" t="str">
        <x:v>FAM-12</x:v>
      </x:c>
      <x:c r="D876" s="37" t="str">
        <x:v>AI text generation, analysis &amp; agents</x:v>
      </x:c>
      <x:c r="E876" s="37" t="str">
        <x:v>Must</x:v>
      </x:c>
      <x:c r="F876" s="37" t="str">
        <x:v>Strict-route gate</x:v>
      </x:c>
      <x:c r="G876" s="37" t="str">
        <x:v>ZAF Lyric Mashup &amp; Creative Tools: Prompted generation, classification, summarization, reasoning, or assistant behavior.</x:v>
      </x:c>
      <x:c r="H876" s="38" t="str">
        <x:v>Define permitted source/rights rules, concept prompts, transformation outputs, save/export.</x:v>
      </x:c>
    </x:row>
    <x:row r="877" ht="48" customHeight="1">
      <x:c r="A877" s="60" t="str">
        <x:v>DOS-048</x:v>
      </x:c>
      <x:c r="B877" s="37" t="str">
        <x:v>ZAF Lyric Mashup &amp; Creative Tools</x:v>
      </x:c>
      <x:c r="C877" s="37" t="str">
        <x:v>FAM-23</x:v>
      </x:c>
      <x:c r="D877" s="37" t="str">
        <x:v>Public website, SEO &amp; domain control</x:v>
      </x:c>
      <x:c r="E877" s="37" t="str">
        <x:v>Must</x:v>
      </x:c>
      <x:c r="F877" s="37" t="str">
        <x:v>Strict-route gate</x:v>
      </x:c>
      <x:c r="G877" s="37" t="str">
        <x:v>ZAF Lyric Mashup &amp; Creative Tools: Public pages, discoverability, custom domain, shareability, and search metadata.</x:v>
      </x:c>
      <x:c r="H877" s="38" t="str">
        <x:v>Define permitted source/rights rules, concept prompts, transformation outputs, save/export.</x:v>
      </x:c>
    </x:row>
    <x:row r="878" ht="48" customHeight="1">
      <x:c r="A878" s="60" t="str">
        <x:v>DOS-048</x:v>
      </x:c>
      <x:c r="B878" s="37" t="str">
        <x:v>ZAF Lyric Mashup &amp; Creative Tools</x:v>
      </x:c>
      <x:c r="C878" s="37" t="str">
        <x:v>FAM-24</x:v>
      </x:c>
      <x:c r="D878" s="37" t="str">
        <x:v>Export, publishing &amp; share routes</x:v>
      </x:c>
      <x:c r="E878" s="37" t="str">
        <x:v>Must</x:v>
      </x:c>
      <x:c r="F878" s="37" t="str">
        <x:v>Strict-route gate</x:v>
      </x:c>
      <x:c r="G878" s="37" t="str">
        <x:v>ZAF Lyric Mashup &amp; Creative Tools: Download/export, social publishing, share links, and portable output packages.</x:v>
      </x:c>
      <x:c r="H878" s="38" t="str">
        <x:v>Define permitted source/rights rules, concept prompts, transformation outputs, save/export.</x:v>
      </x:c>
    </x:row>
    <x:row r="879" ht="48" customHeight="1">
      <x:c r="A879" s="60" t="str">
        <x:v>DOS-048</x:v>
      </x:c>
      <x:c r="B879" s="37" t="str">
        <x:v>ZAF Lyric Mashup &amp; Creative Tools</x:v>
      </x:c>
      <x:c r="C879" s="37" t="str">
        <x:v>FAM-27</x:v>
      </x:c>
      <x:c r="D879" s="37" t="str">
        <x:v>Portability, ownership &amp; escape path</x:v>
      </x:c>
      <x:c r="E879" s="37" t="str">
        <x:v>Must</x:v>
      </x:c>
      <x:c r="F879" s="37" t="str">
        <x:v>Strict-route gate</x:v>
      </x:c>
      <x:c r="G879" s="37" t="str">
        <x:v>ZAF Lyric Mashup &amp; Creative Tools: Code/data export, GitHub, custom domains, migration, and lock-in control.</x:v>
      </x:c>
      <x:c r="H879" s="38" t="str">
        <x:v>Define permitted source/rights rules, concept prompts, transformation outputs, save/export.</x:v>
      </x:c>
    </x:row>
    <x:row r="880" ht="48" customHeight="1">
      <x:c r="A880" s="60" t="str">
        <x:v>DOS-048</x:v>
      </x:c>
      <x:c r="B880" s="37" t="str">
        <x:v>ZAF Lyric Mashup &amp; Creative Tools</x:v>
      </x:c>
      <x:c r="C880" s="37" t="str">
        <x:v>FAM-28</x:v>
      </x:c>
      <x:c r="D880" s="37" t="str">
        <x:v>Custom code &amp; extensibility</x:v>
      </x:c>
      <x:c r="E880" s="37" t="str">
        <x:v>Must</x:v>
      </x:c>
      <x:c r="F880" s="37" t="str">
        <x:v>Strict-route gate</x:v>
      </x:c>
      <x:c r="G880" s="37" t="str">
        <x:v>ZAF Lyric Mashup &amp; Creative Tools: Ability to add bespoke logic, components, SDKs, or developer assistance.</x:v>
      </x:c>
      <x:c r="H880" s="38" t="str">
        <x:v>Define permitted source/rights rules, concept prompts, transformation outputs, save/export.</x:v>
      </x:c>
    </x:row>
    <x:row r="881" ht="48" customHeight="1">
      <x:c r="A881" s="60" t="str">
        <x:v>DOS-048</x:v>
      </x:c>
      <x:c r="B881" s="37" t="str">
        <x:v>ZAF Lyric Mashup &amp; Creative Tools</x:v>
      </x:c>
      <x:c r="C881" s="37" t="str">
        <x:v>FAM-02</x:v>
      </x:c>
      <x:c r="D881" s="37" t="str">
        <x:v>Android/mobile builder workability</x:v>
      </x:c>
      <x:c r="E881" s="37" t="str">
        <x:v>Important</x:v>
      </x:c>
      <x:c r="F881" s="37" t="str">
        <x:v>Score after gates</x:v>
      </x:c>
      <x:c r="G881" s="37" t="str">
        <x:v>ZAF Lyric Mashup &amp; Creative Tools: Derek can build, edit, preview, test, and deploy with reasonable Android/mobile friction.</x:v>
      </x:c>
      <x:c r="H881" s="38" t="str">
        <x:v>Start with user-supplied/public-domain/abstract concepts; defer copyrighted lyric reproduction.</x:v>
      </x:c>
    </x:row>
    <x:row r="882" ht="48" customHeight="1">
      <x:c r="A882" s="60" t="str">
        <x:v>DOS-048</x:v>
      </x:c>
      <x:c r="B882" s="37" t="str">
        <x:v>ZAF Lyric Mashup &amp; Creative Tools</x:v>
      </x:c>
      <x:c r="C882" s="37" t="str">
        <x:v>FAM-03</x:v>
      </x:c>
      <x:c r="D882" s="37" t="str">
        <x:v>Authentication, identity &amp; roles</x:v>
      </x:c>
      <x:c r="E882" s="37" t="str">
        <x:v>Important</x:v>
      </x:c>
      <x:c r="F882" s="37" t="str">
        <x:v>Score after gates</x:v>
      </x:c>
      <x:c r="G882" s="37" t="str">
        <x:v>ZAF Lyric Mashup &amp; Creative Tools: Sign-in, role-aware access, member identity, and permissions.</x:v>
      </x:c>
      <x:c r="H882" s="38" t="str">
        <x:v>Start with user-supplied/public-domain/abstract concepts; defer copyrighted lyric reproduction.</x:v>
      </x:c>
    </x:row>
    <x:row r="883" ht="48" customHeight="1">
      <x:c r="A883" s="60" t="str">
        <x:v>DOS-048</x:v>
      </x:c>
      <x:c r="B883" s="37" t="str">
        <x:v>ZAF Lyric Mashup &amp; Creative Tools</x:v>
      </x:c>
      <x:c r="C883" s="37" t="str">
        <x:v>FAM-13</x:v>
      </x:c>
      <x:c r="D883" s="37" t="str">
        <x:v>OCR &amp; structured extraction</x:v>
      </x:c>
      <x:c r="E883" s="37" t="str">
        <x:v>Important</x:v>
      </x:c>
      <x:c r="F883" s="37" t="str">
        <x:v>Score after gates</x:v>
      </x:c>
      <x:c r="G883" s="37" t="str">
        <x:v>ZAF Lyric Mashup &amp; Creative Tools: Extract fields from screenshots, documents, receipts, or messy content.</x:v>
      </x:c>
      <x:c r="H883" s="38" t="str">
        <x:v>Start with user-supplied/public-domain/abstract concepts; defer copyrighted lyric reproduction.</x:v>
      </x:c>
    </x:row>
    <x:row r="884" ht="48" customHeight="1">
      <x:c r="A884" s="60" t="str">
        <x:v>DOS-048</x:v>
      </x:c>
      <x:c r="B884" s="37" t="str">
        <x:v>ZAF Lyric Mashup &amp; Creative Tools</x:v>
      </x:c>
      <x:c r="C884" s="37" t="str">
        <x:v>FAM-14</x:v>
      </x:c>
      <x:c r="D884" s="37" t="str">
        <x:v>Personalization, memory &amp; preferences</x:v>
      </x:c>
      <x:c r="E884" s="37" t="str">
        <x:v>Important</x:v>
      </x:c>
      <x:c r="F884" s="37" t="str">
        <x:v>Score after gates</x:v>
      </x:c>
      <x:c r="G884" s="37" t="str">
        <x:v>ZAF Lyric Mashup &amp; Creative Tools: Saved preferences, history, source memory, and adaptive outputs.</x:v>
      </x:c>
      <x:c r="H884" s="38" t="str">
        <x:v>Start with user-supplied/public-domain/abstract concepts; defer copyrighted lyric reproduction.</x:v>
      </x:c>
    </x:row>
    <x:row r="885" ht="48" customHeight="1">
      <x:c r="A885" s="60" t="str">
        <x:v>DOS-048</x:v>
      </x:c>
      <x:c r="B885" s="37" t="str">
        <x:v>ZAF Lyric Mashup &amp; Creative Tools</x:v>
      </x:c>
      <x:c r="C885" s="37" t="str">
        <x:v>FAM-17</x:v>
      </x:c>
      <x:c r="D885" s="37" t="str">
        <x:v>Payments, subscriptions &amp; billing</x:v>
      </x:c>
      <x:c r="E885" s="37" t="str">
        <x:v>Important</x:v>
      </x:c>
      <x:c r="F885" s="37" t="str">
        <x:v>Score after gates</x:v>
      </x:c>
      <x:c r="G885" s="37" t="str">
        <x:v>ZAF Lyric Mashup &amp; Creative Tools: Payments, subscriptions, checkout, entitlements, and billing-aware workflows.</x:v>
      </x:c>
      <x:c r="H885" s="38" t="str">
        <x:v>Start with user-supplied/public-domain/abstract concepts; defer copyrighted lyric reproduction.</x:v>
      </x:c>
    </x:row>
    <x:row r="886" ht="48" customHeight="1">
      <x:c r="A886" s="60" t="str">
        <x:v>DOS-048</x:v>
      </x:c>
      <x:c r="B886" s="37" t="str">
        <x:v>ZAF Lyric Mashup &amp; Creative Tools</x:v>
      </x:c>
      <x:c r="C886" s="37" t="str">
        <x:v>FAM-25</x:v>
      </x:c>
      <x:c r="D886" s="37" t="str">
        <x:v>Analytics, reporting &amp; decision dashboards</x:v>
      </x:c>
      <x:c r="E886" s="37" t="str">
        <x:v>Important</x:v>
      </x:c>
      <x:c r="F886" s="37" t="str">
        <x:v>Score after gates</x:v>
      </x:c>
      <x:c r="G886" s="37" t="str">
        <x:v>ZAF Lyric Mashup &amp; Creative Tools: Usage metrics, charts, rankings, reporting, and decision support.</x:v>
      </x:c>
      <x:c r="H886" s="38" t="str">
        <x:v>Start with user-supplied/public-domain/abstract concepts; defer copyrighted lyric reproduction.</x:v>
      </x:c>
    </x:row>
    <x:row r="887" ht="48" customHeight="1">
      <x:c r="A887" s="60" t="str">
        <x:v>DOS-048</x:v>
      </x:c>
      <x:c r="B887" s="37" t="str">
        <x:v>ZAF Lyric Mashup &amp; Creative Tools</x:v>
      </x:c>
      <x:c r="C887" s="37" t="str">
        <x:v>FAM-29</x:v>
      </x:c>
      <x:c r="D887" s="37" t="str">
        <x:v>Backend functions, APIs &amp; background compute</x:v>
      </x:c>
      <x:c r="E887" s="37" t="str">
        <x:v>Important</x:v>
      </x:c>
      <x:c r="F887" s="37" t="str">
        <x:v>Score after gates</x:v>
      </x:c>
      <x:c r="G887" s="37" t="str">
        <x:v>ZAF Lyric Mashup &amp; Creative Tools: Server functions, secure APIs, logs, queues, scheduled tasks, and secrets.</x:v>
      </x:c>
      <x:c r="H887" s="38" t="str">
        <x:v>Start with user-supplied/public-domain/abstract concepts; defer copyrighted lyric reproduction.</x:v>
      </x:c>
    </x:row>
    <x:row r="888" ht="48" customHeight="1">
      <x:c r="A888" s="60" t="str">
        <x:v>DOS-048</x:v>
      </x:c>
      <x:c r="B888" s="37" t="str">
        <x:v>ZAF Lyric Mashup &amp; Creative Tools</x:v>
      </x:c>
      <x:c r="C888" s="37" t="str">
        <x:v>FAM-35</x:v>
      </x:c>
      <x:c r="D888" s="37" t="str">
        <x:v>Privacy, consent &amp; audit trail</x:v>
      </x:c>
      <x:c r="E888" s="37" t="str">
        <x:v>Important</x:v>
      </x:c>
      <x:c r="F888" s="37" t="str">
        <x:v>Score after gates</x:v>
      </x:c>
      <x:c r="G888" s="37" t="str">
        <x:v>ZAF Lyric Mashup &amp; Creative Tools: Consent, retention, access controls, provenance, and auditable actions.</x:v>
      </x:c>
      <x:c r="H888" s="38" t="str">
        <x:v>Start with user-supplied/public-domain/abstract concepts; defer copyrighted lyric reproduction.</x:v>
      </x:c>
    </x:row>
    <x:row r="889" ht="48" customHeight="1">
      <x:c r="A889" s="60" t="str">
        <x:v>DOS-048</x:v>
      </x:c>
      <x:c r="B889" s="37" t="str">
        <x:v>ZAF Lyric Mashup &amp; Creative Tools</x:v>
      </x:c>
      <x:c r="C889" s="37" t="str">
        <x:v>FAM-15</x:v>
      </x:c>
      <x:c r="D889" s="37" t="str">
        <x:v>Social, realtime &amp; collaboration</x:v>
      </x:c>
      <x:c r="E889" s="37" t="str">
        <x:v>Expansion</x:v>
      </x:c>
      <x:c r="F889" s="37" t="str">
        <x:v>Flexible / later only</x:v>
      </x:c>
      <x:c r="G889" s="37" t="str">
        <x:v>ZAF Lyric Mashup &amp; Creative Tools: Feeds, messaging, groups, sharing, realtime updates, or multi-user creation.</x:v>
      </x:c>
      <x:c r="H889" s="38" t="str">
        <x:v>Collaboration, performance packages, publishing assets.</x:v>
      </x:c>
    </x:row>
    <x:row r="890" ht="48" customHeight="1">
      <x:c r="A890" s="60" t="str">
        <x:v>DOS-048</x:v>
      </x:c>
      <x:c r="B890" s="37" t="str">
        <x:v>ZAF Lyric Mashup &amp; Creative Tools</x:v>
      </x:c>
      <x:c r="C890" s="37" t="str">
        <x:v>FAM-20</x:v>
      </x:c>
      <x:c r="D890" s="37" t="str">
        <x:v>Notifications, reminders &amp; deadlines</x:v>
      </x:c>
      <x:c r="E890" s="37" t="str">
        <x:v>Expansion</x:v>
      </x:c>
      <x:c r="F890" s="37" t="str">
        <x:v>Flexible / later only</x:v>
      </x:c>
      <x:c r="G890" s="37" t="str">
        <x:v>ZAF Lyric Mashup &amp; Creative Tools: Push/email/in-app reminders, scheduled tasks, and time-bound flows.</x:v>
      </x:c>
      <x:c r="H890" s="38" t="str">
        <x:v>Collaboration, performance packages, publishing assets.</x:v>
      </x:c>
    </x:row>
    <x:row r="891" ht="48" customHeight="1">
      <x:c r="A891" s="60" t="str">
        <x:v>DOS-048</x:v>
      </x:c>
      <x:c r="B891" s="37" t="str">
        <x:v>ZAF Lyric Mashup &amp; Creative Tools</x:v>
      </x:c>
      <x:c r="C891" s="37" t="str">
        <x:v>FAM-32</x:v>
      </x:c>
      <x:c r="D891" s="37" t="str">
        <x:v>Marketplace, templates &amp; creator assets</x:v>
      </x:c>
      <x:c r="E891" s="37" t="str">
        <x:v>Expansion</x:v>
      </x:c>
      <x:c r="F891" s="37" t="str">
        <x:v>Flexible / later only</x:v>
      </x:c>
      <x:c r="G891" s="37" t="str">
        <x:v>ZAF Lyric Mashup &amp; Creative Tools: Listings, reusable assets, creator publishing, reviews, and marketplace rules.</x:v>
      </x:c>
      <x:c r="H891" s="38" t="str">
        <x:v>Collaboration, performance packages, publishing assets.</x:v>
      </x:c>
    </x:row>
    <x:row r="892" ht="48" customHeight="1">
      <x:c r="A892" s="60" t="str">
        <x:v>DOS-048</x:v>
      </x:c>
      <x:c r="B892" s="37" t="str">
        <x:v>ZAF Lyric Mashup &amp; Creative Tools</x:v>
      </x:c>
      <x:c r="C892" s="37" t="str">
        <x:v>FAM-36</x:v>
      </x:c>
      <x:c r="D892" s="37" t="str">
        <x:v>Scoring, ranking &amp; matching logic</x:v>
      </x:c>
      <x:c r="E892" s="37" t="str">
        <x:v>Expansion</x:v>
      </x:c>
      <x:c r="F892" s="37" t="str">
        <x:v>Flexible / later only</x:v>
      </x:c>
      <x:c r="G892" s="37" t="str">
        <x:v>ZAF Lyric Mashup &amp; Creative Tools: Transparent scorecards, requirements matching, routes, and tie-break explanations.</x:v>
      </x:c>
      <x:c r="H892" s="38" t="str">
        <x:v>Collaboration, performance packages, publishing assets.</x:v>
      </x:c>
    </x:row>
    <x:row r="893" ht="48" customHeight="1">
      <x:c r="A893" s="60" t="str">
        <x:v>DOS-049</x:v>
      </x:c>
      <x:c r="B893" s="37" t="str">
        <x:v>ZAF Artist Passport</x:v>
      </x:c>
      <x:c r="C893" s="37" t="str">
        <x:v>FAM-01</x:v>
      </x:c>
      <x:c r="D893" s="37" t="str">
        <x:v>Responsive web / PWA interface</x:v>
      </x:c>
      <x:c r="E893" s="37" t="str">
        <x:v>Must</x:v>
      </x:c>
      <x:c r="F893" s="37" t="str">
        <x:v>Strict-route gate</x:v>
      </x:c>
      <x:c r="G893" s="37" t="str">
        <x:v>ZAF Artist Passport: Mobile-first responsive screens and app-like web navigation.</x:v>
      </x:c>
      <x:c r="H893" s="38" t="str">
        <x:v>Public/private passport profile, achievement record, external links, basic verification/claim model.</x:v>
      </x:c>
    </x:row>
    <x:row r="894" ht="48" customHeight="1">
      <x:c r="A894" s="60" t="str">
        <x:v>DOS-049</x:v>
      </x:c>
      <x:c r="B894" s="37" t="str">
        <x:v>ZAF Artist Passport</x:v>
      </x:c>
      <x:c r="C894" s="37" t="str">
        <x:v>FAM-03</x:v>
      </x:c>
      <x:c r="D894" s="37" t="str">
        <x:v>Authentication, identity &amp; roles</x:v>
      </x:c>
      <x:c r="E894" s="37" t="str">
        <x:v>Must</x:v>
      </x:c>
      <x:c r="F894" s="37" t="str">
        <x:v>Strict-route gate</x:v>
      </x:c>
      <x:c r="G894" s="37" t="str">
        <x:v>ZAF Artist Passport: Sign-in, role-aware access, member identity, and permissions.</x:v>
      </x:c>
      <x:c r="H894" s="38" t="str">
        <x:v>Public/private passport profile, achievement record, external links, basic verification/claim model.</x:v>
      </x:c>
    </x:row>
    <x:row r="895" ht="48" customHeight="1">
      <x:c r="A895" s="60" t="str">
        <x:v>DOS-049</x:v>
      </x:c>
      <x:c r="B895" s="37" t="str">
        <x:v>ZAF Artist Passport</x:v>
      </x:c>
      <x:c r="C895" s="37" t="str">
        <x:v>FAM-04</x:v>
      </x:c>
      <x:c r="D895" s="37" t="str">
        <x:v>Profiles, portfolios &amp; relationship records</x:v>
      </x:c>
      <x:c r="E895" s="37" t="str">
        <x:v>Must</x:v>
      </x:c>
      <x:c r="F895" s="37" t="str">
        <x:v>Strict-route gate</x:v>
      </x:c>
      <x:c r="G895" s="37" t="str">
        <x:v>ZAF Artist Passport: Persistent user/member/creator profiles and linked relationships.</x:v>
      </x:c>
      <x:c r="H895" s="38" t="str">
        <x:v>Public/private passport profile, achievement record, external links, basic verification/claim model.</x:v>
      </x:c>
    </x:row>
    <x:row r="896" ht="48" customHeight="1">
      <x:c r="A896" s="60" t="str">
        <x:v>DOS-049</x:v>
      </x:c>
      <x:c r="B896" s="37" t="str">
        <x:v>ZAF Artist Passport</x:v>
      </x:c>
      <x:c r="C896" s="37" t="str">
        <x:v>FAM-05</x:v>
      </x:c>
      <x:c r="D896" s="37" t="str">
        <x:v>Structured database &amp; persistent records</x:v>
      </x:c>
      <x:c r="E896" s="37" t="str">
        <x:v>Must</x:v>
      </x:c>
      <x:c r="F896" s="37" t="str">
        <x:v>Strict-route gate</x:v>
      </x:c>
      <x:c r="G896" s="37" t="str">
        <x:v>ZAF Artist Passport: Reliable structured data storage, retrieval, and updates.</x:v>
      </x:c>
      <x:c r="H896" s="38" t="str">
        <x:v>Public/private passport profile, achievement record, external links, basic verification/claim model.</x:v>
      </x:c>
    </x:row>
    <x:row r="897" ht="48" customHeight="1">
      <x:c r="A897" s="60" t="str">
        <x:v>DOS-049</x:v>
      </x:c>
      <x:c r="B897" s="37" t="str">
        <x:v>ZAF Artist Passport</x:v>
      </x:c>
      <x:c r="C897" s="37" t="str">
        <x:v>FAM-06</x:v>
      </x:c>
      <x:c r="D897" s="37" t="str">
        <x:v>Search, filters, lists &amp; directories</x:v>
      </x:c>
      <x:c r="E897" s="37" t="str">
        <x:v>Must</x:v>
      </x:c>
      <x:c r="F897" s="37" t="str">
        <x:v>Strict-route gate</x:v>
      </x:c>
      <x:c r="G897" s="37" t="str">
        <x:v>ZAF Artist Passport: Searchable libraries, member lists, catalog browsing, and filtered views.</x:v>
      </x:c>
      <x:c r="H897" s="38" t="str">
        <x:v>Public/private passport profile, achievement record, external links, basic verification/claim model.</x:v>
      </x:c>
    </x:row>
    <x:row r="898" ht="48" customHeight="1">
      <x:c r="A898" s="60" t="str">
        <x:v>DOS-049</x:v>
      </x:c>
      <x:c r="B898" s="37" t="str">
        <x:v>ZAF Artist Passport</x:v>
      </x:c>
      <x:c r="C898" s="37" t="str">
        <x:v>FAM-19</x:v>
      </x:c>
      <x:c r="D898" s="37" t="str">
        <x:v>Rewards, badges &amp; entitlements</x:v>
      </x:c>
      <x:c r="E898" s="37" t="str">
        <x:v>Must</x:v>
      </x:c>
      <x:c r="F898" s="37" t="str">
        <x:v>Strict-route gate</x:v>
      </x:c>
      <x:c r="G898" s="37" t="str">
        <x:v>ZAF Artist Passport: Loyalty, roles, rewards, badges, credits, and access logic.</x:v>
      </x:c>
      <x:c r="H898" s="38" t="str">
        <x:v>Public/private passport profile, achievement record, external links, basic verification/claim model.</x:v>
      </x:c>
    </x:row>
    <x:row r="899" ht="48" customHeight="1">
      <x:c r="A899" s="60" t="str">
        <x:v>DOS-049</x:v>
      </x:c>
      <x:c r="B899" s="37" t="str">
        <x:v>ZAF Artist Passport</x:v>
      </x:c>
      <x:c r="C899" s="37" t="str">
        <x:v>FAM-23</x:v>
      </x:c>
      <x:c r="D899" s="37" t="str">
        <x:v>Public website, SEO &amp; domain control</x:v>
      </x:c>
      <x:c r="E899" s="37" t="str">
        <x:v>Must</x:v>
      </x:c>
      <x:c r="F899" s="37" t="str">
        <x:v>Strict-route gate</x:v>
      </x:c>
      <x:c r="G899" s="37" t="str">
        <x:v>ZAF Artist Passport: Public pages, discoverability, custom domain, shareability, and search metadata.</x:v>
      </x:c>
      <x:c r="H899" s="38" t="str">
        <x:v>Public/private passport profile, achievement record, external links, basic verification/claim model.</x:v>
      </x:c>
    </x:row>
    <x:row r="900" ht="48" customHeight="1">
      <x:c r="A900" s="60" t="str">
        <x:v>DOS-049</x:v>
      </x:c>
      <x:c r="B900" s="37" t="str">
        <x:v>ZAF Artist Passport</x:v>
      </x:c>
      <x:c r="C900" s="37" t="str">
        <x:v>FAM-25</x:v>
      </x:c>
      <x:c r="D900" s="37" t="str">
        <x:v>Analytics, reporting &amp; decision dashboards</x:v>
      </x:c>
      <x:c r="E900" s="37" t="str">
        <x:v>Must</x:v>
      </x:c>
      <x:c r="F900" s="37" t="str">
        <x:v>Strict-route gate</x:v>
      </x:c>
      <x:c r="G900" s="37" t="str">
        <x:v>ZAF Artist Passport: Usage metrics, charts, rankings, reporting, and decision support.</x:v>
      </x:c>
      <x:c r="H900" s="38" t="str">
        <x:v>Public/private passport profile, achievement record, external links, basic verification/claim model.</x:v>
      </x:c>
    </x:row>
    <x:row r="901" ht="48" customHeight="1">
      <x:c r="A901" s="60" t="str">
        <x:v>DOS-049</x:v>
      </x:c>
      <x:c r="B901" s="37" t="str">
        <x:v>ZAF Artist Passport</x:v>
      </x:c>
      <x:c r="C901" s="37" t="str">
        <x:v>FAM-26</x:v>
      </x:c>
      <x:c r="D901" s="37" t="str">
        <x:v>Admin, CMS &amp; operational management</x:v>
      </x:c>
      <x:c r="E901" s="37" t="str">
        <x:v>Must</x:v>
      </x:c>
      <x:c r="F901" s="37" t="str">
        <x:v>Strict-route gate</x:v>
      </x:c>
      <x:c r="G901" s="37" t="str">
        <x:v>ZAF Artist Passport: Admin views, content management, operational review, and human overrides.</x:v>
      </x:c>
      <x:c r="H901" s="38" t="str">
        <x:v>Public/private passport profile, achievement record, external links, basic verification/claim model.</x:v>
      </x:c>
    </x:row>
    <x:row r="902" ht="48" customHeight="1">
      <x:c r="A902" s="60" t="str">
        <x:v>DOS-049</x:v>
      </x:c>
      <x:c r="B902" s="37" t="str">
        <x:v>ZAF Artist Passport</x:v>
      </x:c>
      <x:c r="C902" s="37" t="str">
        <x:v>FAM-02</x:v>
      </x:c>
      <x:c r="D902" s="37" t="str">
        <x:v>Android/mobile builder workability</x:v>
      </x:c>
      <x:c r="E902" s="37" t="str">
        <x:v>Important</x:v>
      </x:c>
      <x:c r="F902" s="37" t="str">
        <x:v>Score after gates</x:v>
      </x:c>
      <x:c r="G902" s="37" t="str">
        <x:v>ZAF Artist Passport: Derek can build, edit, preview, test, and deploy with reasonable Android/mobile friction.</x:v>
      </x:c>
      <x:c r="H902" s="38" t="str">
        <x:v>Launch manual/curated records before broad validation or credentials.</x:v>
      </x:c>
    </x:row>
    <x:row r="903" ht="48" customHeight="1">
      <x:c r="A903" s="60" t="str">
        <x:v>DOS-049</x:v>
      </x:c>
      <x:c r="B903" s="37" t="str">
        <x:v>ZAF Artist Passport</x:v>
      </x:c>
      <x:c r="C903" s="37" t="str">
        <x:v>FAM-07</x:v>
      </x:c>
      <x:c r="D903" s="37" t="str">
        <x:v>File intake, storage &amp; lifecycle</x:v>
      </x:c>
      <x:c r="E903" s="37" t="str">
        <x:v>Important</x:v>
      </x:c>
      <x:c r="F903" s="37" t="str">
        <x:v>Score after gates</x:v>
      </x:c>
      <x:c r="G903" s="37" t="str">
        <x:v>ZAF Artist Passport: Upload/import, validation, storage, retention, and file-size handling.</x:v>
      </x:c>
      <x:c r="H903" s="38" t="str">
        <x:v>Launch manual/curated records before broad validation or credentials.</x:v>
      </x:c>
    </x:row>
    <x:row r="904" ht="48" customHeight="1">
      <x:c r="A904" s="60" t="str">
        <x:v>DOS-049</x:v>
      </x:c>
      <x:c r="B904" s="37" t="str">
        <x:v>ZAF Artist Passport</x:v>
      </x:c>
      <x:c r="C904" s="37" t="str">
        <x:v>FAM-15</x:v>
      </x:c>
      <x:c r="D904" s="37" t="str">
        <x:v>Social, realtime &amp; collaboration</x:v>
      </x:c>
      <x:c r="E904" s="37" t="str">
        <x:v>Important</x:v>
      </x:c>
      <x:c r="F904" s="37" t="str">
        <x:v>Score after gates</x:v>
      </x:c>
      <x:c r="G904" s="37" t="str">
        <x:v>ZAF Artist Passport: Feeds, messaging, groups, sharing, realtime updates, or multi-user creation.</x:v>
      </x:c>
      <x:c r="H904" s="38" t="str">
        <x:v>Launch manual/curated records before broad validation or credentials.</x:v>
      </x:c>
    </x:row>
    <x:row r="905" ht="48" customHeight="1">
      <x:c r="A905" s="60" t="str">
        <x:v>DOS-049</x:v>
      </x:c>
      <x:c r="B905" s="37" t="str">
        <x:v>ZAF Artist Passport</x:v>
      </x:c>
      <x:c r="C905" s="37" t="str">
        <x:v>FAM-16</x:v>
      </x:c>
      <x:c r="D905" s="37" t="str">
        <x:v>Content moderation &amp; reporting</x:v>
      </x:c>
      <x:c r="E905" s="37" t="str">
        <x:v>Important</x:v>
      </x:c>
      <x:c r="F905" s="37" t="str">
        <x:v>Score after gates</x:v>
      </x:c>
      <x:c r="G905" s="37" t="str">
        <x:v>ZAF Artist Passport: Reports, queues, permissions, review actions, and community safety controls.</x:v>
      </x:c>
      <x:c r="H905" s="38" t="str">
        <x:v>Launch manual/curated records before broad validation or credentials.</x:v>
      </x:c>
    </x:row>
    <x:row r="906" ht="48" customHeight="1">
      <x:c r="A906" s="60" t="str">
        <x:v>DOS-049</x:v>
      </x:c>
      <x:c r="B906" s="37" t="str">
        <x:v>ZAF Artist Passport</x:v>
      </x:c>
      <x:c r="C906" s="37" t="str">
        <x:v>FAM-17</x:v>
      </x:c>
      <x:c r="D906" s="37" t="str">
        <x:v>Payments, subscriptions &amp; billing</x:v>
      </x:c>
      <x:c r="E906" s="37" t="str">
        <x:v>Important</x:v>
      </x:c>
      <x:c r="F906" s="37" t="str">
        <x:v>Score after gates</x:v>
      </x:c>
      <x:c r="G906" s="37" t="str">
        <x:v>ZAF Artist Passport: Payments, subscriptions, checkout, entitlements, and billing-aware workflows.</x:v>
      </x:c>
      <x:c r="H906" s="38" t="str">
        <x:v>Launch manual/curated records before broad validation or credentials.</x:v>
      </x:c>
    </x:row>
    <x:row r="907" ht="48" customHeight="1">
      <x:c r="A907" s="60" t="str">
        <x:v>DOS-049</x:v>
      </x:c>
      <x:c r="B907" s="37" t="str">
        <x:v>ZAF Artist Passport</x:v>
      </x:c>
      <x:c r="C907" s="37" t="str">
        <x:v>FAM-24</x:v>
      </x:c>
      <x:c r="D907" s="37" t="str">
        <x:v>Export, publishing &amp; share routes</x:v>
      </x:c>
      <x:c r="E907" s="37" t="str">
        <x:v>Important</x:v>
      </x:c>
      <x:c r="F907" s="37" t="str">
        <x:v>Score after gates</x:v>
      </x:c>
      <x:c r="G907" s="37" t="str">
        <x:v>ZAF Artist Passport: Download/export, social publishing, share links, and portable output packages.</x:v>
      </x:c>
      <x:c r="H907" s="38" t="str">
        <x:v>Launch manual/curated records before broad validation or credentials.</x:v>
      </x:c>
    </x:row>
    <x:row r="908" ht="48" customHeight="1">
      <x:c r="A908" s="60" t="str">
        <x:v>DOS-049</x:v>
      </x:c>
      <x:c r="B908" s="37" t="str">
        <x:v>ZAF Artist Passport</x:v>
      </x:c>
      <x:c r="C908" s="37" t="str">
        <x:v>FAM-27</x:v>
      </x:c>
      <x:c r="D908" s="37" t="str">
        <x:v>Portability, ownership &amp; escape path</x:v>
      </x:c>
      <x:c r="E908" s="37" t="str">
        <x:v>Important</x:v>
      </x:c>
      <x:c r="F908" s="37" t="str">
        <x:v>Score after gates</x:v>
      </x:c>
      <x:c r="G908" s="37" t="str">
        <x:v>ZAF Artist Passport: Code/data export, GitHub, custom domains, migration, and lock-in control.</x:v>
      </x:c>
      <x:c r="H908" s="38" t="str">
        <x:v>Launch manual/curated records before broad validation or credentials.</x:v>
      </x:c>
    </x:row>
    <x:row r="909" ht="48" customHeight="1">
      <x:c r="A909" s="60" t="str">
        <x:v>DOS-049</x:v>
      </x:c>
      <x:c r="B909" s="37" t="str">
        <x:v>ZAF Artist Passport</x:v>
      </x:c>
      <x:c r="C909" s="37" t="str">
        <x:v>FAM-35</x:v>
      </x:c>
      <x:c r="D909" s="37" t="str">
        <x:v>Privacy, consent &amp; audit trail</x:v>
      </x:c>
      <x:c r="E909" s="37" t="str">
        <x:v>Important</x:v>
      </x:c>
      <x:c r="F909" s="37" t="str">
        <x:v>Score after gates</x:v>
      </x:c>
      <x:c r="G909" s="37" t="str">
        <x:v>ZAF Artist Passport: Consent, retention, access controls, provenance, and auditable actions.</x:v>
      </x:c>
      <x:c r="H909" s="38" t="str">
        <x:v>Launch manual/curated records before broad validation or credentials.</x:v>
      </x:c>
    </x:row>
    <x:row r="910" ht="48" customHeight="1">
      <x:c r="A910" s="60" t="str">
        <x:v>DOS-049</x:v>
      </x:c>
      <x:c r="B910" s="37" t="str">
        <x:v>ZAF Artist Passport</x:v>
      </x:c>
      <x:c r="C910" s="37" t="str">
        <x:v>FAM-37</x:v>
      </x:c>
      <x:c r="D910" s="37" t="str">
        <x:v>Gamification, challenges &amp; progression</x:v>
      </x:c>
      <x:c r="E910" s="37" t="str">
        <x:v>Important</x:v>
      </x:c>
      <x:c r="F910" s="37" t="str">
        <x:v>Score after gates</x:v>
      </x:c>
      <x:c r="G910" s="37" t="str">
        <x:v>ZAF Artist Passport: Challenges, points, levels, voting, collection, and progress systems.</x:v>
      </x:c>
      <x:c r="H910" s="38" t="str">
        <x:v>Launch manual/curated records before broad validation or credentials.</x:v>
      </x:c>
    </x:row>
    <x:row r="911" ht="48" customHeight="1">
      <x:c r="A911" s="60" t="str">
        <x:v>DOS-049</x:v>
      </x:c>
      <x:c r="B911" s="37" t="str">
        <x:v>ZAF Artist Passport</x:v>
      </x:c>
      <x:c r="C911" s="37" t="str">
        <x:v>FAM-10</x:v>
      </x:c>
      <x:c r="D911" s="37" t="str">
        <x:v>Video, reels &amp; slideshow workflow</x:v>
      </x:c>
      <x:c r="E911" s="37" t="str">
        <x:v>Expansion</x:v>
      </x:c>
      <x:c r="F911" s="37" t="str">
        <x:v>Flexible / later only</x:v>
      </x:c>
      <x:c r="G911" s="37" t="str">
        <x:v>ZAF Artist Passport: Video playback/upload, timed slideshows, reels, rendering, and video export.</x:v>
      </x:c>
      <x:c r="H911" s="38" t="str">
        <x:v>Shared ZAF identity, domains, portfolio, rewards, prestige.</x:v>
      </x:c>
    </x:row>
    <x:row r="912" ht="48" customHeight="1">
      <x:c r="A912" s="60" t="str">
        <x:v>DOS-049</x:v>
      </x:c>
      <x:c r="B912" s="37" t="str">
        <x:v>ZAF Artist Passport</x:v>
      </x:c>
      <x:c r="C912" s="37" t="str">
        <x:v>FAM-12</x:v>
      </x:c>
      <x:c r="D912" s="37" t="str">
        <x:v>AI text generation, analysis &amp; agents</x:v>
      </x:c>
      <x:c r="E912" s="37" t="str">
        <x:v>Expansion</x:v>
      </x:c>
      <x:c r="F912" s="37" t="str">
        <x:v>Flexible / later only</x:v>
      </x:c>
      <x:c r="G912" s="37" t="str">
        <x:v>ZAF Artist Passport: Prompted generation, classification, summarization, reasoning, or assistant behavior.</x:v>
      </x:c>
      <x:c r="H912" s="38" t="str">
        <x:v>Shared ZAF identity, domains, portfolio, rewards, prestige.</x:v>
      </x:c>
    </x:row>
    <x:row r="913" ht="48" customHeight="1">
      <x:c r="A913" s="60" t="str">
        <x:v>DOS-049</x:v>
      </x:c>
      <x:c r="B913" s="37" t="str">
        <x:v>ZAF Artist Passport</x:v>
      </x:c>
      <x:c r="C913" s="37" t="str">
        <x:v>FAM-21</x:v>
      </x:c>
      <x:c r="D913" s="37" t="str">
        <x:v>Automations, webhooks &amp; scheduled jobs</x:v>
      </x:c>
      <x:c r="E913" s="37" t="str">
        <x:v>Expansion</x:v>
      </x:c>
      <x:c r="F913" s="37" t="str">
        <x:v>Flexible / later only</x:v>
      </x:c>
      <x:c r="G913" s="37" t="str">
        <x:v>ZAF Artist Passport: Event-driven workflows, scheduled tasks, background processes, and webhooks.</x:v>
      </x:c>
      <x:c r="H913" s="38" t="str">
        <x:v>Shared ZAF identity, domains, portfolio, rewards, prestige.</x:v>
      </x:c>
    </x:row>
    <x:row r="914" ht="48" customHeight="1">
      <x:c r="A914" s="60" t="str">
        <x:v>DOS-049</x:v>
      </x:c>
      <x:c r="B914" s="37" t="str">
        <x:v>ZAF Artist Passport</x:v>
      </x:c>
      <x:c r="C914" s="37" t="str">
        <x:v>FAM-32</x:v>
      </x:c>
      <x:c r="D914" s="37" t="str">
        <x:v>Marketplace, templates &amp; creator assets</x:v>
      </x:c>
      <x:c r="E914" s="37" t="str">
        <x:v>Expansion</x:v>
      </x:c>
      <x:c r="F914" s="37" t="str">
        <x:v>Flexible / later only</x:v>
      </x:c>
      <x:c r="G914" s="37" t="str">
        <x:v>ZAF Artist Passport: Listings, reusable assets, creator publishing, reviews, and marketplace rules.</x:v>
      </x:c>
      <x:c r="H914" s="38" t="str">
        <x:v>Shared ZAF identity, domains, portfolio, rewards, prestige.</x:v>
      </x:c>
    </x:row>
    <x:row r="915" ht="48" customHeight="1">
      <x:c r="A915" s="60" t="str">
        <x:v>DOS-050</x:v>
      </x:c>
      <x:c r="B915" s="37" t="str">
        <x:v>ZAF Rewards, Loyalty &amp; Commerce</x:v>
      </x:c>
      <x:c r="C915" s="37" t="str">
        <x:v>FAM-01</x:v>
      </x:c>
      <x:c r="D915" s="37" t="str">
        <x:v>Responsive web / PWA interface</x:v>
      </x:c>
      <x:c r="E915" s="37" t="str">
        <x:v>Must</x:v>
      </x:c>
      <x:c r="F915" s="37" t="str">
        <x:v>Strict-route gate</x:v>
      </x:c>
      <x:c r="G915" s="37" t="str">
        <x:v>ZAF Rewards, Loyalty &amp; Commerce: Mobile-first responsive screens and app-like web navigation.</x:v>
      </x:c>
      <x:c r="H915" s="38" t="str">
        <x:v>Simple badge catalog, manual reward ledger, redemption rules, product/shop landing.</x:v>
      </x:c>
    </x:row>
    <x:row r="916" ht="48" customHeight="1">
      <x:c r="A916" s="60" t="str">
        <x:v>DOS-050</x:v>
      </x:c>
      <x:c r="B916" s="37" t="str">
        <x:v>ZAF Rewards, Loyalty &amp; Commerce</x:v>
      </x:c>
      <x:c r="C916" s="37" t="str">
        <x:v>FAM-17</x:v>
      </x:c>
      <x:c r="D916" s="37" t="str">
        <x:v>Payments, subscriptions &amp; billing</x:v>
      </x:c>
      <x:c r="E916" s="37" t="str">
        <x:v>Must</x:v>
      </x:c>
      <x:c r="F916" s="37" t="str">
        <x:v>Strict-route gate</x:v>
      </x:c>
      <x:c r="G916" s="37" t="str">
        <x:v>ZAF Rewards, Loyalty &amp; Commerce: Payments, subscriptions, checkout, entitlements, and billing-aware workflows.</x:v>
      </x:c>
      <x:c r="H916" s="38" t="str">
        <x:v>Simple badge catalog, manual reward ledger, redemption rules, product/shop landing.</x:v>
      </x:c>
    </x:row>
    <x:row r="917" ht="48" customHeight="1">
      <x:c r="A917" s="60" t="str">
        <x:v>DOS-050</x:v>
      </x:c>
      <x:c r="B917" s="37" t="str">
        <x:v>ZAF Rewards, Loyalty &amp; Commerce</x:v>
      </x:c>
      <x:c r="C917" s="37" t="str">
        <x:v>FAM-18</x:v>
      </x:c>
      <x:c r="D917" s="37" t="str">
        <x:v>Commerce, catalog &amp; fulfillment</x:v>
      </x:c>
      <x:c r="E917" s="37" t="str">
        <x:v>Must</x:v>
      </x:c>
      <x:c r="F917" s="37" t="str">
        <x:v>Strict-route gate</x:v>
      </x:c>
      <x:c r="G917" s="37" t="str">
        <x:v>ZAF Rewards, Loyalty &amp; Commerce: Product catalogs, ecommerce, orders, print-on-demand, and fulfillment integrations.</x:v>
      </x:c>
      <x:c r="H917" s="38" t="str">
        <x:v>Simple badge catalog, manual reward ledger, redemption rules, product/shop landing.</x:v>
      </x:c>
    </x:row>
    <x:row r="918" ht="48" customHeight="1">
      <x:c r="A918" s="60" t="str">
        <x:v>DOS-050</x:v>
      </x:c>
      <x:c r="B918" s="37" t="str">
        <x:v>ZAF Rewards, Loyalty &amp; Commerce</x:v>
      </x:c>
      <x:c r="C918" s="37" t="str">
        <x:v>FAM-23</x:v>
      </x:c>
      <x:c r="D918" s="37" t="str">
        <x:v>Public website, SEO &amp; domain control</x:v>
      </x:c>
      <x:c r="E918" s="37" t="str">
        <x:v>Must</x:v>
      </x:c>
      <x:c r="F918" s="37" t="str">
        <x:v>Strict-route gate</x:v>
      </x:c>
      <x:c r="G918" s="37" t="str">
        <x:v>ZAF Rewards, Loyalty &amp; Commerce: Public pages, discoverability, custom domain, shareability, and search metadata.</x:v>
      </x:c>
      <x:c r="H918" s="38" t="str">
        <x:v>Simple badge catalog, manual reward ledger, redemption rules, product/shop landing.</x:v>
      </x:c>
    </x:row>
    <x:row r="919" ht="48" customHeight="1">
      <x:c r="A919" s="60" t="str">
        <x:v>DOS-050</x:v>
      </x:c>
      <x:c r="B919" s="37" t="str">
        <x:v>ZAF Rewards, Loyalty &amp; Commerce</x:v>
      </x:c>
      <x:c r="C919" s="37" t="str">
        <x:v>FAM-26</x:v>
      </x:c>
      <x:c r="D919" s="37" t="str">
        <x:v>Admin, CMS &amp; operational management</x:v>
      </x:c>
      <x:c r="E919" s="37" t="str">
        <x:v>Must</x:v>
      </x:c>
      <x:c r="F919" s="37" t="str">
        <x:v>Strict-route gate</x:v>
      </x:c>
      <x:c r="G919" s="37" t="str">
        <x:v>ZAF Rewards, Loyalty &amp; Commerce: Admin views, content management, operational review, and human overrides.</x:v>
      </x:c>
      <x:c r="H919" s="38" t="str">
        <x:v>Simple badge catalog, manual reward ledger, redemption rules, product/shop landing.</x:v>
      </x:c>
    </x:row>
    <x:row r="920" ht="48" customHeight="1">
      <x:c r="A920" s="60" t="str">
        <x:v>DOS-050</x:v>
      </x:c>
      <x:c r="B920" s="37" t="str">
        <x:v>ZAF Rewards, Loyalty &amp; Commerce</x:v>
      </x:c>
      <x:c r="C920" s="37" t="str">
        <x:v>FAM-27</x:v>
      </x:c>
      <x:c r="D920" s="37" t="str">
        <x:v>Portability, ownership &amp; escape path</x:v>
      </x:c>
      <x:c r="E920" s="37" t="str">
        <x:v>Must</x:v>
      </x:c>
      <x:c r="F920" s="37" t="str">
        <x:v>Strict-route gate</x:v>
      </x:c>
      <x:c r="G920" s="37" t="str">
        <x:v>ZAF Rewards, Loyalty &amp; Commerce: Code/data export, GitHub, custom domains, migration, and lock-in control.</x:v>
      </x:c>
      <x:c r="H920" s="38" t="str">
        <x:v>Simple badge catalog, manual reward ledger, redemption rules, product/shop landing.</x:v>
      </x:c>
    </x:row>
    <x:row r="921" ht="48" customHeight="1">
      <x:c r="A921" s="60" t="str">
        <x:v>DOS-050</x:v>
      </x:c>
      <x:c r="B921" s="37" t="str">
        <x:v>ZAF Rewards, Loyalty &amp; Commerce</x:v>
      </x:c>
      <x:c r="C921" s="37" t="str">
        <x:v>FAM-40</x:v>
      </x:c>
      <x:c r="D921" s="37" t="str">
        <x:v>Research, validation &amp; launch experiment</x:v>
      </x:c>
      <x:c r="E921" s="37" t="str">
        <x:v>Must</x:v>
      </x:c>
      <x:c r="F921" s="37" t="str">
        <x:v>Strict-route gate</x:v>
      </x:c>
      <x:c r="G921" s="37" t="str">
        <x:v>ZAF Rewards, Loyalty &amp; Commerce: Landing tests, surveys, waitlists, hypotheses, experiments, and evidence capture.</x:v>
      </x:c>
      <x:c r="H921" s="38" t="str">
        <x:v>Simple badge catalog, manual reward ledger, redemption rules, product/shop landing.</x:v>
      </x:c>
    </x:row>
    <x:row r="922" ht="48" customHeight="1">
      <x:c r="A922" s="60" t="str">
        <x:v>DOS-050</x:v>
      </x:c>
      <x:c r="B922" s="37" t="str">
        <x:v>ZAF Rewards, Loyalty &amp; Commerce</x:v>
      </x:c>
      <x:c r="C922" s="37" t="str">
        <x:v>FAM-02</x:v>
      </x:c>
      <x:c r="D922" s="37" t="str">
        <x:v>Android/mobile builder workability</x:v>
      </x:c>
      <x:c r="E922" s="37" t="str">
        <x:v>Important</x:v>
      </x:c>
      <x:c r="F922" s="37" t="str">
        <x:v>Score after gates</x:v>
      </x:c>
      <x:c r="G922" s="37" t="str">
        <x:v>ZAF Rewards, Loyalty &amp; Commerce: Derek can build, edit, preview, test, and deploy with reasonable Android/mobile friction.</x:v>
      </x:c>
      <x:c r="H922" s="38" t="str">
        <x:v>Start manual/limited rewards; defer currency-style economy and cross-product automation.</x:v>
      </x:c>
    </x:row>
    <x:row r="923" ht="48" customHeight="1">
      <x:c r="A923" s="60" t="str">
        <x:v>DOS-050</x:v>
      </x:c>
      <x:c r="B923" s="37" t="str">
        <x:v>ZAF Rewards, Loyalty &amp; Commerce</x:v>
      </x:c>
      <x:c r="C923" s="37" t="str">
        <x:v>FAM-07</x:v>
      </x:c>
      <x:c r="D923" s="37" t="str">
        <x:v>File intake, storage &amp; lifecycle</x:v>
      </x:c>
      <x:c r="E923" s="37" t="str">
        <x:v>Important</x:v>
      </x:c>
      <x:c r="F923" s="37" t="str">
        <x:v>Score after gates</x:v>
      </x:c>
      <x:c r="G923" s="37" t="str">
        <x:v>ZAF Rewards, Loyalty &amp; Commerce: Upload/import, validation, storage, retention, and file-size handling.</x:v>
      </x:c>
      <x:c r="H923" s="38" t="str">
        <x:v>Start manual/limited rewards; defer currency-style economy and cross-product automation.</x:v>
      </x:c>
    </x:row>
    <x:row r="924" ht="48" customHeight="1">
      <x:c r="A924" s="60" t="str">
        <x:v>DOS-050</x:v>
      </x:c>
      <x:c r="B924" s="37" t="str">
        <x:v>ZAF Rewards, Loyalty &amp; Commerce</x:v>
      </x:c>
      <x:c r="C924" s="37" t="str">
        <x:v>FAM-22</x:v>
      </x:c>
      <x:c r="D924" s="37" t="str">
        <x:v>APIs &amp; third-party integrations</x:v>
      </x:c>
      <x:c r="E924" s="37" t="str">
        <x:v>Important</x:v>
      </x:c>
      <x:c r="F924" s="37" t="str">
        <x:v>Score after gates</x:v>
      </x:c>
      <x:c r="G924" s="37" t="str">
        <x:v>ZAF Rewards, Loyalty &amp; Commerce: External services, social/export targets, payment providers, and service connectors.</x:v>
      </x:c>
      <x:c r="H924" s="38" t="str">
        <x:v>Start manual/limited rewards; defer currency-style economy and cross-product automation.</x:v>
      </x:c>
    </x:row>
    <x:row r="925" ht="48" customHeight="1">
      <x:c r="A925" s="60" t="str">
        <x:v>DOS-050</x:v>
      </x:c>
      <x:c r="B925" s="37" t="str">
        <x:v>ZAF Rewards, Loyalty &amp; Commerce</x:v>
      </x:c>
      <x:c r="C925" s="37" t="str">
        <x:v>FAM-24</x:v>
      </x:c>
      <x:c r="D925" s="37" t="str">
        <x:v>Export, publishing &amp; share routes</x:v>
      </x:c>
      <x:c r="E925" s="37" t="str">
        <x:v>Important</x:v>
      </x:c>
      <x:c r="F925" s="37" t="str">
        <x:v>Score after gates</x:v>
      </x:c>
      <x:c r="G925" s="37" t="str">
        <x:v>ZAF Rewards, Loyalty &amp; Commerce: Download/export, social publishing, share links, and portable output packages.</x:v>
      </x:c>
      <x:c r="H925" s="38" t="str">
        <x:v>Start manual/limited rewards; defer currency-style economy and cross-product automation.</x:v>
      </x:c>
    </x:row>
    <x:row r="926" ht="48" customHeight="1">
      <x:c r="A926" s="60" t="str">
        <x:v>DOS-050</x:v>
      </x:c>
      <x:c r="B926" s="37" t="str">
        <x:v>ZAF Rewards, Loyalty &amp; Commerce</x:v>
      </x:c>
      <x:c r="C926" s="37" t="str">
        <x:v>FAM-25</x:v>
      </x:c>
      <x:c r="D926" s="37" t="str">
        <x:v>Analytics, reporting &amp; decision dashboards</x:v>
      </x:c>
      <x:c r="E926" s="37" t="str">
        <x:v>Important</x:v>
      </x:c>
      <x:c r="F926" s="37" t="str">
        <x:v>Score after gates</x:v>
      </x:c>
      <x:c r="G926" s="37" t="str">
        <x:v>ZAF Rewards, Loyalty &amp; Commerce: Usage metrics, charts, rankings, reporting, and decision support.</x:v>
      </x:c>
      <x:c r="H926" s="38" t="str">
        <x:v>Start manual/limited rewards; defer currency-style economy and cross-product automation.</x:v>
      </x:c>
    </x:row>
    <x:row r="927" ht="48" customHeight="1">
      <x:c r="A927" s="60" t="str">
        <x:v>DOS-050</x:v>
      </x:c>
      <x:c r="B927" s="37" t="str">
        <x:v>ZAF Rewards, Loyalty &amp; Commerce</x:v>
      </x:c>
      <x:c r="C927" s="37" t="str">
        <x:v>FAM-34</x:v>
      </x:c>
      <x:c r="D927" s="37" t="str">
        <x:v>Lead capture, booking &amp; service commerce</x:v>
      </x:c>
      <x:c r="E927" s="37" t="str">
        <x:v>Important</x:v>
      </x:c>
      <x:c r="F927" s="37" t="str">
        <x:v>Score after gates</x:v>
      </x:c>
      <x:c r="G927" s="37" t="str">
        <x:v>ZAF Rewards, Loyalty &amp; Commerce: Inquiry forms, booking, sales funnels, quotes, and service-client handoff.</x:v>
      </x:c>
      <x:c r="H927" s="38" t="str">
        <x:v>Start manual/limited rewards; defer currency-style economy and cross-product automation.</x:v>
      </x:c>
    </x:row>
    <x:row r="928" ht="48" customHeight="1">
      <x:c r="A928" s="60" t="str">
        <x:v>DOS-050</x:v>
      </x:c>
      <x:c r="B928" s="37" t="str">
        <x:v>ZAF Rewards, Loyalty &amp; Commerce</x:v>
      </x:c>
      <x:c r="C928" s="37" t="str">
        <x:v>FAM-39</x:v>
      </x:c>
      <x:c r="D928" s="37" t="str">
        <x:v>Physical-product companion &amp; validation</x:v>
      </x:c>
      <x:c r="E928" s="37" t="str">
        <x:v>Important</x:v>
      </x:c>
      <x:c r="F928" s="37" t="str">
        <x:v>Score after gates</x:v>
      </x:c>
      <x:c r="G928" s="37" t="str">
        <x:v>ZAF Rewards, Loyalty &amp; Commerce: Landing pages, waitlists, product configuration, hardware documentation, and physical-product data.</x:v>
      </x:c>
      <x:c r="H928" s="38" t="str">
        <x:v>Start manual/limited rewards; defer currency-style economy and cross-product automation.</x:v>
      </x:c>
    </x:row>
    <x:row r="929" ht="48" customHeight="1">
      <x:c r="A929" s="60" t="str">
        <x:v>DOS-050</x:v>
      </x:c>
      <x:c r="B929" s="37" t="str">
        <x:v>ZAF Rewards, Loyalty &amp; Commerce</x:v>
      </x:c>
      <x:c r="C929" s="37" t="str">
        <x:v>FAM-03</x:v>
      </x:c>
      <x:c r="D929" s="37" t="str">
        <x:v>Authentication, identity &amp; roles</x:v>
      </x:c>
      <x:c r="E929" s="37" t="str">
        <x:v>Expansion</x:v>
      </x:c>
      <x:c r="F929" s="37" t="str">
        <x:v>Flexible / later only</x:v>
      </x:c>
      <x:c r="G929" s="37" t="str">
        <x:v>ZAF Rewards, Loyalty &amp; Commerce: Sign-in, role-aware access, member identity, and permissions.</x:v>
      </x:c>
      <x:c r="H929" s="38" t="str">
        <x:v>Shared entitlements, loyalty shop, community economy.</x:v>
      </x:c>
    </x:row>
    <x:row r="930" ht="48" customHeight="1">
      <x:c r="A930" s="60" t="str">
        <x:v>DOS-050</x:v>
      </x:c>
      <x:c r="B930" s="37" t="str">
        <x:v>ZAF Rewards, Loyalty &amp; Commerce</x:v>
      </x:c>
      <x:c r="C930" s="37" t="str">
        <x:v>FAM-04</x:v>
      </x:c>
      <x:c r="D930" s="37" t="str">
        <x:v>Profiles, portfolios &amp; relationship records</x:v>
      </x:c>
      <x:c r="E930" s="37" t="str">
        <x:v>Expansion</x:v>
      </x:c>
      <x:c r="F930" s="37" t="str">
        <x:v>Flexible / later only</x:v>
      </x:c>
      <x:c r="G930" s="37" t="str">
        <x:v>ZAF Rewards, Loyalty &amp; Commerce: Persistent user/member/creator profiles and linked relationships.</x:v>
      </x:c>
      <x:c r="H930" s="38" t="str">
        <x:v>Shared entitlements, loyalty shop, community economy.</x:v>
      </x:c>
    </x:row>
    <x:row r="931" ht="48" customHeight="1">
      <x:c r="A931" s="60" t="str">
        <x:v>DOS-050</x:v>
      </x:c>
      <x:c r="B931" s="37" t="str">
        <x:v>ZAF Rewards, Loyalty &amp; Commerce</x:v>
      </x:c>
      <x:c r="C931" s="37" t="str">
        <x:v>FAM-19</x:v>
      </x:c>
      <x:c r="D931" s="37" t="str">
        <x:v>Rewards, badges &amp; entitlements</x:v>
      </x:c>
      <x:c r="E931" s="37" t="str">
        <x:v>Expansion</x:v>
      </x:c>
      <x:c r="F931" s="37" t="str">
        <x:v>Flexible / later only</x:v>
      </x:c>
      <x:c r="G931" s="37" t="str">
        <x:v>ZAF Rewards, Loyalty &amp; Commerce: Loyalty, roles, rewards, badges, credits, and access logic.</x:v>
      </x:c>
      <x:c r="H931" s="38" t="str">
        <x:v>Shared entitlements, loyalty shop, community economy.</x:v>
      </x:c>
    </x:row>
    <x:row r="932" ht="48" customHeight="1">
      <x:c r="A932" s="60" t="str">
        <x:v>DOS-050</x:v>
      </x:c>
      <x:c r="B932" s="37" t="str">
        <x:v>ZAF Rewards, Loyalty &amp; Commerce</x:v>
      </x:c>
      <x:c r="C932" s="37" t="str">
        <x:v>FAM-32</x:v>
      </x:c>
      <x:c r="D932" s="37" t="str">
        <x:v>Marketplace, templates &amp; creator assets</x:v>
      </x:c>
      <x:c r="E932" s="37" t="str">
        <x:v>Expansion</x:v>
      </x:c>
      <x:c r="F932" s="37" t="str">
        <x:v>Flexible / later only</x:v>
      </x:c>
      <x:c r="G932" s="37" t="str">
        <x:v>ZAF Rewards, Loyalty &amp; Commerce: Listings, reusable assets, creator publishing, reviews, and marketplace rules.</x:v>
      </x:c>
      <x:c r="H932" s="38" t="str">
        <x:v>Shared entitlements, loyalty shop, community economy.</x:v>
      </x:c>
    </x:row>
    <x:row r="933" ht="48" customHeight="1">
      <x:c r="A933" s="60" t="str">
        <x:v>DOS-051</x:v>
      </x:c>
      <x:c r="B933" s="37" t="str">
        <x:v>Virtual Labels, Talent Scouting &amp; Label Ladder</x:v>
      </x:c>
      <x:c r="C933" s="37" t="str">
        <x:v>FAM-01</x:v>
      </x:c>
      <x:c r="D933" s="37" t="str">
        <x:v>Responsive web / PWA interface</x:v>
      </x:c>
      <x:c r="E933" s="37" t="str">
        <x:v>Must</x:v>
      </x:c>
      <x:c r="F933" s="37" t="str">
        <x:v>Strict-route gate</x:v>
      </x:c>
      <x:c r="G933" s="37" t="str">
        <x:v>Virtual Labels, Talent Scouting &amp; Label Ladder: Mobile-first responsive screens and app-like web navigation.</x:v>
      </x:c>
      <x:c r="H933" s="38" t="str">
        <x:v>Public explanation, application/nomination, service pathways, basic artist pipeline/CRM.</x:v>
      </x:c>
    </x:row>
    <x:row r="934" ht="48" customHeight="1">
      <x:c r="A934" s="60" t="str">
        <x:v>DOS-051</x:v>
      </x:c>
      <x:c r="B934" s="37" t="str">
        <x:v>Virtual Labels, Talent Scouting &amp; Label Ladder</x:v>
      </x:c>
      <x:c r="C934" s="37" t="str">
        <x:v>FAM-23</x:v>
      </x:c>
      <x:c r="D934" s="37" t="str">
        <x:v>Public website, SEO &amp; domain control</x:v>
      </x:c>
      <x:c r="E934" s="37" t="str">
        <x:v>Must</x:v>
      </x:c>
      <x:c r="F934" s="37" t="str">
        <x:v>Strict-route gate</x:v>
      </x:c>
      <x:c r="G934" s="37" t="str">
        <x:v>Virtual Labels, Talent Scouting &amp; Label Ladder: Public pages, discoverability, custom domain, shareability, and search metadata.</x:v>
      </x:c>
      <x:c r="H934" s="38" t="str">
        <x:v>Public explanation, application/nomination, service pathways, basic artist pipeline/CRM.</x:v>
      </x:c>
    </x:row>
    <x:row r="935" ht="48" customHeight="1">
      <x:c r="A935" s="60" t="str">
        <x:v>DOS-051</x:v>
      </x:c>
      <x:c r="B935" s="37" t="str">
        <x:v>Virtual Labels, Talent Scouting &amp; Label Ladder</x:v>
      </x:c>
      <x:c r="C935" s="37" t="str">
        <x:v>FAM-26</x:v>
      </x:c>
      <x:c r="D935" s="37" t="str">
        <x:v>Admin, CMS &amp; operational management</x:v>
      </x:c>
      <x:c r="E935" s="37" t="str">
        <x:v>Must</x:v>
      </x:c>
      <x:c r="F935" s="37" t="str">
        <x:v>Strict-route gate</x:v>
      </x:c>
      <x:c r="G935" s="37" t="str">
        <x:v>Virtual Labels, Talent Scouting &amp; Label Ladder: Admin views, content management, operational review, and human overrides.</x:v>
      </x:c>
      <x:c r="H935" s="38" t="str">
        <x:v>Public explanation, application/nomination, service pathways, basic artist pipeline/CRM.</x:v>
      </x:c>
    </x:row>
    <x:row r="936" ht="48" customHeight="1">
      <x:c r="A936" s="60" t="str">
        <x:v>DOS-051</x:v>
      </x:c>
      <x:c r="B936" s="37" t="str">
        <x:v>Virtual Labels, Talent Scouting &amp; Label Ladder</x:v>
      </x:c>
      <x:c r="C936" s="37" t="str">
        <x:v>FAM-34</x:v>
      </x:c>
      <x:c r="D936" s="37" t="str">
        <x:v>Lead capture, booking &amp; service commerce</x:v>
      </x:c>
      <x:c r="E936" s="37" t="str">
        <x:v>Must</x:v>
      </x:c>
      <x:c r="F936" s="37" t="str">
        <x:v>Strict-route gate</x:v>
      </x:c>
      <x:c r="G936" s="37" t="str">
        <x:v>Virtual Labels, Talent Scouting &amp; Label Ladder: Inquiry forms, booking, sales funnels, quotes, and service-client handoff.</x:v>
      </x:c>
      <x:c r="H936" s="38" t="str">
        <x:v>Public explanation, application/nomination, service pathways, basic artist pipeline/CRM.</x:v>
      </x:c>
    </x:row>
    <x:row r="937" ht="48" customHeight="1">
      <x:c r="A937" s="60" t="str">
        <x:v>DOS-051</x:v>
      </x:c>
      <x:c r="B937" s="37" t="str">
        <x:v>Virtual Labels, Talent Scouting &amp; Label Ladder</x:v>
      </x:c>
      <x:c r="C937" s="37" t="str">
        <x:v>FAM-40</x:v>
      </x:c>
      <x:c r="D937" s="37" t="str">
        <x:v>Research, validation &amp; launch experiment</x:v>
      </x:c>
      <x:c r="E937" s="37" t="str">
        <x:v>Must</x:v>
      </x:c>
      <x:c r="F937" s="37" t="str">
        <x:v>Strict-route gate</x:v>
      </x:c>
      <x:c r="G937" s="37" t="str">
        <x:v>Virtual Labels, Talent Scouting &amp; Label Ladder: Landing tests, surveys, waitlists, hypotheses, experiments, and evidence capture.</x:v>
      </x:c>
      <x:c r="H937" s="38" t="str">
        <x:v>Public explanation, application/nomination, service pathways, basic artist pipeline/CRM.</x:v>
      </x:c>
    </x:row>
    <x:row r="938" ht="48" customHeight="1">
      <x:c r="A938" s="60" t="str">
        <x:v>DOS-051</x:v>
      </x:c>
      <x:c r="B938" s="37" t="str">
        <x:v>Virtual Labels, Talent Scouting &amp; Label Ladder</x:v>
      </x:c>
      <x:c r="C938" s="37" t="str">
        <x:v>FAM-02</x:v>
      </x:c>
      <x:c r="D938" s="37" t="str">
        <x:v>Android/mobile builder workability</x:v>
      </x:c>
      <x:c r="E938" s="37" t="str">
        <x:v>Important</x:v>
      </x:c>
      <x:c r="F938" s="37" t="str">
        <x:v>Score after gates</x:v>
      </x:c>
      <x:c r="G938" s="37" t="str">
        <x:v>Virtual Labels, Talent Scouting &amp; Label Ladder: Derek can build, edit, preview, test, and deploy with reasonable Android/mobile friction.</x:v>
      </x:c>
      <x:c r="H938" s="38" t="str">
        <x:v>Start as service/portal and curated pathways before platformized label network.</x:v>
      </x:c>
    </x:row>
    <x:row r="939" ht="48" customHeight="1">
      <x:c r="A939" s="60" t="str">
        <x:v>DOS-051</x:v>
      </x:c>
      <x:c r="B939" s="37" t="str">
        <x:v>Virtual Labels, Talent Scouting &amp; Label Ladder</x:v>
      </x:c>
      <x:c r="C939" s="37" t="str">
        <x:v>FAM-17</x:v>
      </x:c>
      <x:c r="D939" s="37" t="str">
        <x:v>Payments, subscriptions &amp; billing</x:v>
      </x:c>
      <x:c r="E939" s="37" t="str">
        <x:v>Important</x:v>
      </x:c>
      <x:c r="F939" s="37" t="str">
        <x:v>Score after gates</x:v>
      </x:c>
      <x:c r="G939" s="37" t="str">
        <x:v>Virtual Labels, Talent Scouting &amp; Label Ladder: Payments, subscriptions, checkout, entitlements, and billing-aware workflows.</x:v>
      </x:c>
      <x:c r="H939" s="38" t="str">
        <x:v>Start as service/portal and curated pathways before platformized label network.</x:v>
      </x:c>
    </x:row>
    <x:row r="940" ht="48" customHeight="1">
      <x:c r="A940" s="60" t="str">
        <x:v>DOS-051</x:v>
      </x:c>
      <x:c r="B940" s="37" t="str">
        <x:v>Virtual Labels, Talent Scouting &amp; Label Ladder</x:v>
      </x:c>
      <x:c r="C940" s="37" t="str">
        <x:v>FAM-22</x:v>
      </x:c>
      <x:c r="D940" s="37" t="str">
        <x:v>APIs &amp; third-party integrations</x:v>
      </x:c>
      <x:c r="E940" s="37" t="str">
        <x:v>Important</x:v>
      </x:c>
      <x:c r="F940" s="37" t="str">
        <x:v>Score after gates</x:v>
      </x:c>
      <x:c r="G940" s="37" t="str">
        <x:v>Virtual Labels, Talent Scouting &amp; Label Ladder: External services, social/export targets, payment providers, and service connectors.</x:v>
      </x:c>
      <x:c r="H940" s="38" t="str">
        <x:v>Start as service/portal and curated pathways before platformized label network.</x:v>
      </x:c>
    </x:row>
    <x:row r="941" ht="48" customHeight="1">
      <x:c r="A941" s="60" t="str">
        <x:v>DOS-051</x:v>
      </x:c>
      <x:c r="B941" s="37" t="str">
        <x:v>Virtual Labels, Talent Scouting &amp; Label Ladder</x:v>
      </x:c>
      <x:c r="C941" s="37" t="str">
        <x:v>FAM-25</x:v>
      </x:c>
      <x:c r="D941" s="37" t="str">
        <x:v>Analytics, reporting &amp; decision dashboards</x:v>
      </x:c>
      <x:c r="E941" s="37" t="str">
        <x:v>Important</x:v>
      </x:c>
      <x:c r="F941" s="37" t="str">
        <x:v>Score after gates</x:v>
      </x:c>
      <x:c r="G941" s="37" t="str">
        <x:v>Virtual Labels, Talent Scouting &amp; Label Ladder: Usage metrics, charts, rankings, reporting, and decision support.</x:v>
      </x:c>
      <x:c r="H941" s="38" t="str">
        <x:v>Start as service/portal and curated pathways before platformized label network.</x:v>
      </x:c>
    </x:row>
    <x:row r="942" ht="48" customHeight="1">
      <x:c r="A942" s="60" t="str">
        <x:v>DOS-051</x:v>
      </x:c>
      <x:c r="B942" s="37" t="str">
        <x:v>Virtual Labels, Talent Scouting &amp; Label Ladder</x:v>
      </x:c>
      <x:c r="C942" s="37" t="str">
        <x:v>FAM-27</x:v>
      </x:c>
      <x:c r="D942" s="37" t="str">
        <x:v>Portability, ownership &amp; escape path</x:v>
      </x:c>
      <x:c r="E942" s="37" t="str">
        <x:v>Important</x:v>
      </x:c>
      <x:c r="F942" s="37" t="str">
        <x:v>Score after gates</x:v>
      </x:c>
      <x:c r="G942" s="37" t="str">
        <x:v>Virtual Labels, Talent Scouting &amp; Label Ladder: Code/data export, GitHub, custom domains, migration, and lock-in control.</x:v>
      </x:c>
      <x:c r="H942" s="38" t="str">
        <x:v>Start as service/portal and curated pathways before platformized label network.</x:v>
      </x:c>
    </x:row>
    <x:row r="943" ht="48" customHeight="1">
      <x:c r="A943" s="60" t="str">
        <x:v>DOS-051</x:v>
      </x:c>
      <x:c r="B943" s="37" t="str">
        <x:v>Virtual Labels, Talent Scouting &amp; Label Ladder</x:v>
      </x:c>
      <x:c r="C943" s="37" t="str">
        <x:v>FAM-33</x:v>
      </x:c>
      <x:c r="D943" s="37" t="str">
        <x:v>Location, scheduling &amp; service coordination</x:v>
      </x:c>
      <x:c r="E943" s="37" t="str">
        <x:v>Important</x:v>
      </x:c>
      <x:c r="F943" s="37" t="str">
        <x:v>Score after gates</x:v>
      </x:c>
      <x:c r="G943" s="37" t="str">
        <x:v>Virtual Labels, Talent Scouting &amp; Label Ladder: Maps, appointments, resources, availability, or geographic service coordination.</x:v>
      </x:c>
      <x:c r="H943" s="38" t="str">
        <x:v>Start as service/portal and curated pathways before platformized label network.</x:v>
      </x:c>
    </x:row>
    <x:row r="944" ht="48" customHeight="1">
      <x:c r="A944" s="60" t="str">
        <x:v>DOS-051</x:v>
      </x:c>
      <x:c r="B944" s="37" t="str">
        <x:v>Virtual Labels, Talent Scouting &amp; Label Ladder</x:v>
      </x:c>
      <x:c r="C944" s="37" t="str">
        <x:v>FAM-03</x:v>
      </x:c>
      <x:c r="D944" s="37" t="str">
        <x:v>Authentication, identity &amp; roles</x:v>
      </x:c>
      <x:c r="E944" s="37" t="str">
        <x:v>Expansion</x:v>
      </x:c>
      <x:c r="F944" s="37" t="str">
        <x:v>Flexible / later only</x:v>
      </x:c>
      <x:c r="G944" s="37" t="str">
        <x:v>Virtual Labels, Talent Scouting &amp; Label Ladder: Sign-in, role-aware access, member identity, and permissions.</x:v>
      </x:c>
      <x:c r="H944" s="38" t="str">
        <x:v>Multiple labels, talent marketplace, record achievements, domains.</x:v>
      </x:c>
    </x:row>
    <x:row r="945" ht="48" customHeight="1">
      <x:c r="A945" s="60" t="str">
        <x:v>DOS-051</x:v>
      </x:c>
      <x:c r="B945" s="37" t="str">
        <x:v>Virtual Labels, Talent Scouting &amp; Label Ladder</x:v>
      </x:c>
      <x:c r="C945" s="37" t="str">
        <x:v>FAM-04</x:v>
      </x:c>
      <x:c r="D945" s="37" t="str">
        <x:v>Profiles, portfolios &amp; relationship records</x:v>
      </x:c>
      <x:c r="E945" s="37" t="str">
        <x:v>Expansion</x:v>
      </x:c>
      <x:c r="F945" s="37" t="str">
        <x:v>Flexible / later only</x:v>
      </x:c>
      <x:c r="G945" s="37" t="str">
        <x:v>Virtual Labels, Talent Scouting &amp; Label Ladder: Persistent user/member/creator profiles and linked relationships.</x:v>
      </x:c>
      <x:c r="H945" s="38" t="str">
        <x:v>Multiple labels, talent marketplace, record achievements, domains.</x:v>
      </x:c>
    </x:row>
    <x:row r="946" ht="48" customHeight="1">
      <x:c r="A946" s="60" t="str">
        <x:v>DOS-051</x:v>
      </x:c>
      <x:c r="B946" s="37" t="str">
        <x:v>Virtual Labels, Talent Scouting &amp; Label Ladder</x:v>
      </x:c>
      <x:c r="C946" s="37" t="str">
        <x:v>FAM-12</x:v>
      </x:c>
      <x:c r="D946" s="37" t="str">
        <x:v>AI text generation, analysis &amp; agents</x:v>
      </x:c>
      <x:c r="E946" s="37" t="str">
        <x:v>Expansion</x:v>
      </x:c>
      <x:c r="F946" s="37" t="str">
        <x:v>Flexible / later only</x:v>
      </x:c>
      <x:c r="G946" s="37" t="str">
        <x:v>Virtual Labels, Talent Scouting &amp; Label Ladder: Prompted generation, classification, summarization, reasoning, or assistant behavior.</x:v>
      </x:c>
      <x:c r="H946" s="38" t="str">
        <x:v>Multiple labels, talent marketplace, record achievements, domains.</x:v>
      </x:c>
    </x:row>
    <x:row r="947" ht="48" customHeight="1">
      <x:c r="A947" s="60" t="str">
        <x:v>DOS-051</x:v>
      </x:c>
      <x:c r="B947" s="37" t="str">
        <x:v>Virtual Labels, Talent Scouting &amp; Label Ladder</x:v>
      </x:c>
      <x:c r="C947" s="37" t="str">
        <x:v>FAM-18</x:v>
      </x:c>
      <x:c r="D947" s="37" t="str">
        <x:v>Commerce, catalog &amp; fulfillment</x:v>
      </x:c>
      <x:c r="E947" s="37" t="str">
        <x:v>Expansion</x:v>
      </x:c>
      <x:c r="F947" s="37" t="str">
        <x:v>Flexible / later only</x:v>
      </x:c>
      <x:c r="G947" s="37" t="str">
        <x:v>Virtual Labels, Talent Scouting &amp; Label Ladder: Product catalogs, ecommerce, orders, print-on-demand, and fulfillment integrations.</x:v>
      </x:c>
      <x:c r="H947" s="38" t="str">
        <x:v>Multiple labels, talent marketplace, record achievements, domains.</x:v>
      </x:c>
    </x:row>
    <x:row r="948" ht="48" customHeight="1">
      <x:c r="A948" s="60" t="str">
        <x:v>DOS-052</x:v>
      </x:c>
      <x:c r="B948" s="37" t="str">
        <x:v>ZAF Merchandise &amp; Patronage</x:v>
      </x:c>
      <x:c r="C948" s="37" t="str">
        <x:v>FAM-01</x:v>
      </x:c>
      <x:c r="D948" s="37" t="str">
        <x:v>Responsive web / PWA interface</x:v>
      </x:c>
      <x:c r="E948" s="37" t="str">
        <x:v>Must</x:v>
      </x:c>
      <x:c r="F948" s="37" t="str">
        <x:v>Strict-route gate</x:v>
      </x:c>
      <x:c r="G948" s="37" t="str">
        <x:v>ZAF Merchandise &amp; Patronage: Mobile-first responsive screens and app-like web navigation.</x:v>
      </x:c>
      <x:c r="H948" s="38" t="str">
        <x:v>Small catalog, sponsor/tribute offer, checkout/contact, fulfillment or manual order flow.</x:v>
      </x:c>
    </x:row>
    <x:row r="949" ht="48" customHeight="1">
      <x:c r="A949" s="60" t="str">
        <x:v>DOS-052</x:v>
      </x:c>
      <x:c r="B949" s="37" t="str">
        <x:v>ZAF Merchandise &amp; Patronage</x:v>
      </x:c>
      <x:c r="C949" s="37" t="str">
        <x:v>FAM-17</x:v>
      </x:c>
      <x:c r="D949" s="37" t="str">
        <x:v>Payments, subscriptions &amp; billing</x:v>
      </x:c>
      <x:c r="E949" s="37" t="str">
        <x:v>Must</x:v>
      </x:c>
      <x:c r="F949" s="37" t="str">
        <x:v>Strict-route gate</x:v>
      </x:c>
      <x:c r="G949" s="37" t="str">
        <x:v>ZAF Merchandise &amp; Patronage: Payments, subscriptions, checkout, entitlements, and billing-aware workflows.</x:v>
      </x:c>
      <x:c r="H949" s="38" t="str">
        <x:v>Small catalog, sponsor/tribute offer, checkout/contact, fulfillment or manual order flow.</x:v>
      </x:c>
    </x:row>
    <x:row r="950" ht="48" customHeight="1">
      <x:c r="A950" s="60" t="str">
        <x:v>DOS-052</x:v>
      </x:c>
      <x:c r="B950" s="37" t="str">
        <x:v>ZAF Merchandise &amp; Patronage</x:v>
      </x:c>
      <x:c r="C950" s="37" t="str">
        <x:v>FAM-18</x:v>
      </x:c>
      <x:c r="D950" s="37" t="str">
        <x:v>Commerce, catalog &amp; fulfillment</x:v>
      </x:c>
      <x:c r="E950" s="37" t="str">
        <x:v>Must</x:v>
      </x:c>
      <x:c r="F950" s="37" t="str">
        <x:v>Strict-route gate</x:v>
      </x:c>
      <x:c r="G950" s="37" t="str">
        <x:v>ZAF Merchandise &amp; Patronage: Product catalogs, ecommerce, orders, print-on-demand, and fulfillment integrations.</x:v>
      </x:c>
      <x:c r="H950" s="38" t="str">
        <x:v>Small catalog, sponsor/tribute offer, checkout/contact, fulfillment or manual order flow.</x:v>
      </x:c>
    </x:row>
    <x:row r="951" ht="48" customHeight="1">
      <x:c r="A951" s="60" t="str">
        <x:v>DOS-052</x:v>
      </x:c>
      <x:c r="B951" s="37" t="str">
        <x:v>ZAF Merchandise &amp; Patronage</x:v>
      </x:c>
      <x:c r="C951" s="37" t="str">
        <x:v>FAM-23</x:v>
      </x:c>
      <x:c r="D951" s="37" t="str">
        <x:v>Public website, SEO &amp; domain control</x:v>
      </x:c>
      <x:c r="E951" s="37" t="str">
        <x:v>Must</x:v>
      </x:c>
      <x:c r="F951" s="37" t="str">
        <x:v>Strict-route gate</x:v>
      </x:c>
      <x:c r="G951" s="37" t="str">
        <x:v>ZAF Merchandise &amp; Patronage: Public pages, discoverability, custom domain, shareability, and search metadata.</x:v>
      </x:c>
      <x:c r="H951" s="38" t="str">
        <x:v>Small catalog, sponsor/tribute offer, checkout/contact, fulfillment or manual order flow.</x:v>
      </x:c>
    </x:row>
    <x:row r="952" ht="48" customHeight="1">
      <x:c r="A952" s="60" t="str">
        <x:v>DOS-052</x:v>
      </x:c>
      <x:c r="B952" s="37" t="str">
        <x:v>ZAF Merchandise &amp; Patronage</x:v>
      </x:c>
      <x:c r="C952" s="37" t="str">
        <x:v>FAM-26</x:v>
      </x:c>
      <x:c r="D952" s="37" t="str">
        <x:v>Admin, CMS &amp; operational management</x:v>
      </x:c>
      <x:c r="E952" s="37" t="str">
        <x:v>Must</x:v>
      </x:c>
      <x:c r="F952" s="37" t="str">
        <x:v>Strict-route gate</x:v>
      </x:c>
      <x:c r="G952" s="37" t="str">
        <x:v>ZAF Merchandise &amp; Patronage: Admin views, content management, operational review, and human overrides.</x:v>
      </x:c>
      <x:c r="H952" s="38" t="str">
        <x:v>Small catalog, sponsor/tribute offer, checkout/contact, fulfillment or manual order flow.</x:v>
      </x:c>
    </x:row>
    <x:row r="953" ht="48" customHeight="1">
      <x:c r="A953" s="60" t="str">
        <x:v>DOS-052</x:v>
      </x:c>
      <x:c r="B953" s="37" t="str">
        <x:v>ZAF Merchandise &amp; Patronage</x:v>
      </x:c>
      <x:c r="C953" s="37" t="str">
        <x:v>FAM-27</x:v>
      </x:c>
      <x:c r="D953" s="37" t="str">
        <x:v>Portability, ownership &amp; escape path</x:v>
      </x:c>
      <x:c r="E953" s="37" t="str">
        <x:v>Must</x:v>
      </x:c>
      <x:c r="F953" s="37" t="str">
        <x:v>Strict-route gate</x:v>
      </x:c>
      <x:c r="G953" s="37" t="str">
        <x:v>ZAF Merchandise &amp; Patronage: Code/data export, GitHub, custom domains, migration, and lock-in control.</x:v>
      </x:c>
      <x:c r="H953" s="38" t="str">
        <x:v>Small catalog, sponsor/tribute offer, checkout/contact, fulfillment or manual order flow.</x:v>
      </x:c>
    </x:row>
    <x:row r="954" ht="48" customHeight="1">
      <x:c r="A954" s="60" t="str">
        <x:v>DOS-052</x:v>
      </x:c>
      <x:c r="B954" s="37" t="str">
        <x:v>ZAF Merchandise &amp; Patronage</x:v>
      </x:c>
      <x:c r="C954" s="37" t="str">
        <x:v>FAM-40</x:v>
      </x:c>
      <x:c r="D954" s="37" t="str">
        <x:v>Research, validation &amp; launch experiment</x:v>
      </x:c>
      <x:c r="E954" s="37" t="str">
        <x:v>Must</x:v>
      </x:c>
      <x:c r="F954" s="37" t="str">
        <x:v>Strict-route gate</x:v>
      </x:c>
      <x:c r="G954" s="37" t="str">
        <x:v>ZAF Merchandise &amp; Patronage: Landing tests, surveys, waitlists, hypotheses, experiments, and evidence capture.</x:v>
      </x:c>
      <x:c r="H954" s="38" t="str">
        <x:v>Small catalog, sponsor/tribute offer, checkout/contact, fulfillment or manual order flow.</x:v>
      </x:c>
    </x:row>
    <x:row r="955" ht="48" customHeight="1">
      <x:c r="A955" s="60" t="str">
        <x:v>DOS-052</x:v>
      </x:c>
      <x:c r="B955" s="37" t="str">
        <x:v>ZAF Merchandise &amp; Patronage</x:v>
      </x:c>
      <x:c r="C955" s="37" t="str">
        <x:v>FAM-02</x:v>
      </x:c>
      <x:c r="D955" s="37" t="str">
        <x:v>Android/mobile builder workability</x:v>
      </x:c>
      <x:c r="E955" s="37" t="str">
        <x:v>Important</x:v>
      </x:c>
      <x:c r="F955" s="37" t="str">
        <x:v>Score after gates</x:v>
      </x:c>
      <x:c r="G955" s="37" t="str">
        <x:v>ZAF Merchandise &amp; Patronage: Derek can build, edit, preview, test, and deploy with reasonable Android/mobile friction.</x:v>
      </x:c>
      <x:c r="H955" s="38" t="str">
        <x:v>Use simple commerce/fulfillment and manual sponsor management first.</x:v>
      </x:c>
    </x:row>
    <x:row r="956" ht="48" customHeight="1">
      <x:c r="A956" s="60" t="str">
        <x:v>DOS-052</x:v>
      </x:c>
      <x:c r="B956" s="37" t="str">
        <x:v>ZAF Merchandise &amp; Patronage</x:v>
      </x:c>
      <x:c r="C956" s="37" t="str">
        <x:v>FAM-07</x:v>
      </x:c>
      <x:c r="D956" s="37" t="str">
        <x:v>File intake, storage &amp; lifecycle</x:v>
      </x:c>
      <x:c r="E956" s="37" t="str">
        <x:v>Important</x:v>
      </x:c>
      <x:c r="F956" s="37" t="str">
        <x:v>Score after gates</x:v>
      </x:c>
      <x:c r="G956" s="37" t="str">
        <x:v>ZAF Merchandise &amp; Patronage: Upload/import, validation, storage, retention, and file-size handling.</x:v>
      </x:c>
      <x:c r="H956" s="38" t="str">
        <x:v>Use simple commerce/fulfillment and manual sponsor management first.</x:v>
      </x:c>
    </x:row>
    <x:row r="957" ht="48" customHeight="1">
      <x:c r="A957" s="60" t="str">
        <x:v>DOS-052</x:v>
      </x:c>
      <x:c r="B957" s="37" t="str">
        <x:v>ZAF Merchandise &amp; Patronage</x:v>
      </x:c>
      <x:c r="C957" s="37" t="str">
        <x:v>FAM-22</x:v>
      </x:c>
      <x:c r="D957" s="37" t="str">
        <x:v>APIs &amp; third-party integrations</x:v>
      </x:c>
      <x:c r="E957" s="37" t="str">
        <x:v>Important</x:v>
      </x:c>
      <x:c r="F957" s="37" t="str">
        <x:v>Score after gates</x:v>
      </x:c>
      <x:c r="G957" s="37" t="str">
        <x:v>ZAF Merchandise &amp; Patronage: External services, social/export targets, payment providers, and service connectors.</x:v>
      </x:c>
      <x:c r="H957" s="38" t="str">
        <x:v>Use simple commerce/fulfillment and manual sponsor management first.</x:v>
      </x:c>
    </x:row>
    <x:row r="958" ht="48" customHeight="1">
      <x:c r="A958" s="60" t="str">
        <x:v>DOS-052</x:v>
      </x:c>
      <x:c r="B958" s="37" t="str">
        <x:v>ZAF Merchandise &amp; Patronage</x:v>
      </x:c>
      <x:c r="C958" s="37" t="str">
        <x:v>FAM-24</x:v>
      </x:c>
      <x:c r="D958" s="37" t="str">
        <x:v>Export, publishing &amp; share routes</x:v>
      </x:c>
      <x:c r="E958" s="37" t="str">
        <x:v>Important</x:v>
      </x:c>
      <x:c r="F958" s="37" t="str">
        <x:v>Score after gates</x:v>
      </x:c>
      <x:c r="G958" s="37" t="str">
        <x:v>ZAF Merchandise &amp; Patronage: Download/export, social publishing, share links, and portable output packages.</x:v>
      </x:c>
      <x:c r="H958" s="38" t="str">
        <x:v>Use simple commerce/fulfillment and manual sponsor management first.</x:v>
      </x:c>
    </x:row>
    <x:row r="959" ht="48" customHeight="1">
      <x:c r="A959" s="60" t="str">
        <x:v>DOS-052</x:v>
      </x:c>
      <x:c r="B959" s="37" t="str">
        <x:v>ZAF Merchandise &amp; Patronage</x:v>
      </x:c>
      <x:c r="C959" s="37" t="str">
        <x:v>FAM-25</x:v>
      </x:c>
      <x:c r="D959" s="37" t="str">
        <x:v>Analytics, reporting &amp; decision dashboards</x:v>
      </x:c>
      <x:c r="E959" s="37" t="str">
        <x:v>Important</x:v>
      </x:c>
      <x:c r="F959" s="37" t="str">
        <x:v>Score after gates</x:v>
      </x:c>
      <x:c r="G959" s="37" t="str">
        <x:v>ZAF Merchandise &amp; Patronage: Usage metrics, charts, rankings, reporting, and decision support.</x:v>
      </x:c>
      <x:c r="H959" s="38" t="str">
        <x:v>Use simple commerce/fulfillment and manual sponsor management first.</x:v>
      </x:c>
    </x:row>
    <x:row r="960" ht="48" customHeight="1">
      <x:c r="A960" s="60" t="str">
        <x:v>DOS-052</x:v>
      </x:c>
      <x:c r="B960" s="37" t="str">
        <x:v>ZAF Merchandise &amp; Patronage</x:v>
      </x:c>
      <x:c r="C960" s="37" t="str">
        <x:v>FAM-34</x:v>
      </x:c>
      <x:c r="D960" s="37" t="str">
        <x:v>Lead capture, booking &amp; service commerce</x:v>
      </x:c>
      <x:c r="E960" s="37" t="str">
        <x:v>Important</x:v>
      </x:c>
      <x:c r="F960" s="37" t="str">
        <x:v>Score after gates</x:v>
      </x:c>
      <x:c r="G960" s="37" t="str">
        <x:v>ZAF Merchandise &amp; Patronage: Inquiry forms, booking, sales funnels, quotes, and service-client handoff.</x:v>
      </x:c>
      <x:c r="H960" s="38" t="str">
        <x:v>Use simple commerce/fulfillment and manual sponsor management first.</x:v>
      </x:c>
    </x:row>
    <x:row r="961" ht="48" customHeight="1">
      <x:c r="A961" s="60" t="str">
        <x:v>DOS-052</x:v>
      </x:c>
      <x:c r="B961" s="37" t="str">
        <x:v>ZAF Merchandise &amp; Patronage</x:v>
      </x:c>
      <x:c r="C961" s="37" t="str">
        <x:v>FAM-39</x:v>
      </x:c>
      <x:c r="D961" s="37" t="str">
        <x:v>Physical-product companion &amp; validation</x:v>
      </x:c>
      <x:c r="E961" s="37" t="str">
        <x:v>Important</x:v>
      </x:c>
      <x:c r="F961" s="37" t="str">
        <x:v>Score after gates</x:v>
      </x:c>
      <x:c r="G961" s="37" t="str">
        <x:v>ZAF Merchandise &amp; Patronage: Landing pages, waitlists, product configuration, hardware documentation, and physical-product data.</x:v>
      </x:c>
      <x:c r="H961" s="38" t="str">
        <x:v>Use simple commerce/fulfillment and manual sponsor management first.</x:v>
      </x:c>
    </x:row>
    <x:row r="962" ht="48" customHeight="1">
      <x:c r="A962" s="60" t="str">
        <x:v>DOS-052</x:v>
      </x:c>
      <x:c r="B962" s="37" t="str">
        <x:v>ZAF Merchandise &amp; Patronage</x:v>
      </x:c>
      <x:c r="C962" s="37" t="str">
        <x:v>FAM-03</x:v>
      </x:c>
      <x:c r="D962" s="37" t="str">
        <x:v>Authentication, identity &amp; roles</x:v>
      </x:c>
      <x:c r="E962" s="37" t="str">
        <x:v>Expansion</x:v>
      </x:c>
      <x:c r="F962" s="37" t="str">
        <x:v>Flexible / later only</x:v>
      </x:c>
      <x:c r="G962" s="37" t="str">
        <x:v>ZAF Merchandise &amp; Patronage: Sign-in, role-aware access, member identity, and permissions.</x:v>
      </x:c>
      <x:c r="H962" s="38" t="str">
        <x:v>Integrated rewards, patron houses, public storefront.</x:v>
      </x:c>
    </x:row>
    <x:row r="963" ht="48" customHeight="1">
      <x:c r="A963" s="60" t="str">
        <x:v>DOS-052</x:v>
      </x:c>
      <x:c r="B963" s="37" t="str">
        <x:v>ZAF Merchandise &amp; Patronage</x:v>
      </x:c>
      <x:c r="C963" s="37" t="str">
        <x:v>FAM-04</x:v>
      </x:c>
      <x:c r="D963" s="37" t="str">
        <x:v>Profiles, portfolios &amp; relationship records</x:v>
      </x:c>
      <x:c r="E963" s="37" t="str">
        <x:v>Expansion</x:v>
      </x:c>
      <x:c r="F963" s="37" t="str">
        <x:v>Flexible / later only</x:v>
      </x:c>
      <x:c r="G963" s="37" t="str">
        <x:v>ZAF Merchandise &amp; Patronage: Persistent user/member/creator profiles and linked relationships.</x:v>
      </x:c>
      <x:c r="H963" s="38" t="str">
        <x:v>Integrated rewards, patron houses, public storefront.</x:v>
      </x:c>
    </x:row>
    <x:row r="964" ht="48" customHeight="1">
      <x:c r="A964" s="60" t="str">
        <x:v>DOS-052</x:v>
      </x:c>
      <x:c r="B964" s="37" t="str">
        <x:v>ZAF Merchandise &amp; Patronage</x:v>
      </x:c>
      <x:c r="C964" s="37" t="str">
        <x:v>FAM-19</x:v>
      </x:c>
      <x:c r="D964" s="37" t="str">
        <x:v>Rewards, badges &amp; entitlements</x:v>
      </x:c>
      <x:c r="E964" s="37" t="str">
        <x:v>Expansion</x:v>
      </x:c>
      <x:c r="F964" s="37" t="str">
        <x:v>Flexible / later only</x:v>
      </x:c>
      <x:c r="G964" s="37" t="str">
        <x:v>ZAF Merchandise &amp; Patronage: Loyalty, roles, rewards, badges, credits, and access logic.</x:v>
      </x:c>
      <x:c r="H964" s="38" t="str">
        <x:v>Integrated rewards, patron houses, public storefront.</x:v>
      </x:c>
    </x:row>
    <x:row r="965" ht="48" customHeight="1">
      <x:c r="A965" s="60" t="str">
        <x:v>DOS-052</x:v>
      </x:c>
      <x:c r="B965" s="37" t="str">
        <x:v>ZAF Merchandise &amp; Patronage</x:v>
      </x:c>
      <x:c r="C965" s="37" t="str">
        <x:v>FAM-32</x:v>
      </x:c>
      <x:c r="D965" s="37" t="str">
        <x:v>Marketplace, templates &amp; creator assets</x:v>
      </x:c>
      <x:c r="E965" s="37" t="str">
        <x:v>Expansion</x:v>
      </x:c>
      <x:c r="F965" s="37" t="str">
        <x:v>Flexible / later only</x:v>
      </x:c>
      <x:c r="G965" s="37" t="str">
        <x:v>ZAF Merchandise &amp; Patronage: Listings, reusable assets, creator publishing, reviews, and marketplace rules.</x:v>
      </x:c>
      <x:c r="H965" s="38" t="str">
        <x:v>Integrated rewards, patron houses, public storefront.</x:v>
      </x:c>
    </x:row>
    <x:row r="966" ht="48" customHeight="1">
      <x:c r="A966" s="60" t="str">
        <x:v>DOS-053</x:v>
      </x:c>
      <x:c r="B966" s="37" t="str">
        <x:v>Themed Party Room Idea Generator</x:v>
      </x:c>
      <x:c r="C966" s="37" t="str">
        <x:v>FAM-01</x:v>
      </x:c>
      <x:c r="D966" s="37" t="str">
        <x:v>Responsive web / PWA interface</x:v>
      </x:c>
      <x:c r="E966" s="37" t="str">
        <x:v>Must</x:v>
      </x:c>
      <x:c r="F966" s="37" t="str">
        <x:v>Strict-route gate</x:v>
      </x:c>
      <x:c r="G966" s="37" t="str">
        <x:v>Themed Party Room Idea Generator: Mobile-first responsive screens and app-like web navigation.</x:v>
      </x:c>
      <x:c r="H966" s="38" t="str">
        <x:v>Simple prompt intake, themed output pack, save/share, public landing, optional purchase.</x:v>
      </x:c>
    </x:row>
    <x:row r="967" ht="48" customHeight="1">
      <x:c r="A967" s="60" t="str">
        <x:v>DOS-053</x:v>
      </x:c>
      <x:c r="B967" s="37" t="str">
        <x:v>Themed Party Room Idea Generator</x:v>
      </x:c>
      <x:c r="C967" s="37" t="str">
        <x:v>FAM-05</x:v>
      </x:c>
      <x:c r="D967" s="37" t="str">
        <x:v>Structured database &amp; persistent records</x:v>
      </x:c>
      <x:c r="E967" s="37" t="str">
        <x:v>Must</x:v>
      </x:c>
      <x:c r="F967" s="37" t="str">
        <x:v>Strict-route gate</x:v>
      </x:c>
      <x:c r="G967" s="37" t="str">
        <x:v>Themed Party Room Idea Generator: Reliable structured data storage, retrieval, and updates.</x:v>
      </x:c>
      <x:c r="H967" s="38" t="str">
        <x:v>Simple prompt intake, themed output pack, save/share, public landing, optional purchase.</x:v>
      </x:c>
    </x:row>
    <x:row r="968" ht="48" customHeight="1">
      <x:c r="A968" s="60" t="str">
        <x:v>DOS-053</x:v>
      </x:c>
      <x:c r="B968" s="37" t="str">
        <x:v>Themed Party Room Idea Generator</x:v>
      </x:c>
      <x:c r="C968" s="37" t="str">
        <x:v>FAM-12</x:v>
      </x:c>
      <x:c r="D968" s="37" t="str">
        <x:v>AI text generation, analysis &amp; agents</x:v>
      </x:c>
      <x:c r="E968" s="37" t="str">
        <x:v>Must</x:v>
      </x:c>
      <x:c r="F968" s="37" t="str">
        <x:v>Strict-route gate</x:v>
      </x:c>
      <x:c r="G968" s="37" t="str">
        <x:v>Themed Party Room Idea Generator: Prompted generation, classification, summarization, reasoning, or assistant behavior.</x:v>
      </x:c>
      <x:c r="H968" s="38" t="str">
        <x:v>Simple prompt intake, themed output pack, save/share, public landing, optional purchase.</x:v>
      </x:c>
    </x:row>
    <x:row r="969" ht="48" customHeight="1">
      <x:c r="A969" s="60" t="str">
        <x:v>DOS-053</x:v>
      </x:c>
      <x:c r="B969" s="37" t="str">
        <x:v>Themed Party Room Idea Generator</x:v>
      </x:c>
      <x:c r="C969" s="37" t="str">
        <x:v>FAM-23</x:v>
      </x:c>
      <x:c r="D969" s="37" t="str">
        <x:v>Public website, SEO &amp; domain control</x:v>
      </x:c>
      <x:c r="E969" s="37" t="str">
        <x:v>Must</x:v>
      </x:c>
      <x:c r="F969" s="37" t="str">
        <x:v>Strict-route gate</x:v>
      </x:c>
      <x:c r="G969" s="37" t="str">
        <x:v>Themed Party Room Idea Generator: Public pages, discoverability, custom domain, shareability, and search metadata.</x:v>
      </x:c>
      <x:c r="H969" s="38" t="str">
        <x:v>Simple prompt intake, themed output pack, save/share, public landing, optional purchase.</x:v>
      </x:c>
    </x:row>
    <x:row r="970" ht="48" customHeight="1">
      <x:c r="A970" s="60" t="str">
        <x:v>DOS-053</x:v>
      </x:c>
      <x:c r="B970" s="37" t="str">
        <x:v>Themed Party Room Idea Generator</x:v>
      </x:c>
      <x:c r="C970" s="37" t="str">
        <x:v>FAM-24</x:v>
      </x:c>
      <x:c r="D970" s="37" t="str">
        <x:v>Export, publishing &amp; share routes</x:v>
      </x:c>
      <x:c r="E970" s="37" t="str">
        <x:v>Must</x:v>
      </x:c>
      <x:c r="F970" s="37" t="str">
        <x:v>Strict-route gate</x:v>
      </x:c>
      <x:c r="G970" s="37" t="str">
        <x:v>Themed Party Room Idea Generator: Download/export, social publishing, share links, and portable output packages.</x:v>
      </x:c>
      <x:c r="H970" s="38" t="str">
        <x:v>Simple prompt intake, themed output pack, save/share, public landing, optional purchase.</x:v>
      </x:c>
    </x:row>
    <x:row r="971" ht="48" customHeight="1">
      <x:c r="A971" s="60" t="str">
        <x:v>DOS-053</x:v>
      </x:c>
      <x:c r="B971" s="37" t="str">
        <x:v>Themed Party Room Idea Generator</x:v>
      </x:c>
      <x:c r="C971" s="37" t="str">
        <x:v>FAM-27</x:v>
      </x:c>
      <x:c r="D971" s="37" t="str">
        <x:v>Portability, ownership &amp; escape path</x:v>
      </x:c>
      <x:c r="E971" s="37" t="str">
        <x:v>Must</x:v>
      </x:c>
      <x:c r="F971" s="37" t="str">
        <x:v>Strict-route gate</x:v>
      </x:c>
      <x:c r="G971" s="37" t="str">
        <x:v>Themed Party Room Idea Generator: Code/data export, GitHub, custom domains, migration, and lock-in control.</x:v>
      </x:c>
      <x:c r="H971" s="38" t="str">
        <x:v>Simple prompt intake, themed output pack, save/share, public landing, optional purchase.</x:v>
      </x:c>
    </x:row>
    <x:row r="972" ht="48" customHeight="1">
      <x:c r="A972" s="60" t="str">
        <x:v>DOS-053</x:v>
      </x:c>
      <x:c r="B972" s="37" t="str">
        <x:v>Themed Party Room Idea Generator</x:v>
      </x:c>
      <x:c r="C972" s="37" t="str">
        <x:v>FAM-28</x:v>
      </x:c>
      <x:c r="D972" s="37" t="str">
        <x:v>Custom code &amp; extensibility</x:v>
      </x:c>
      <x:c r="E972" s="37" t="str">
        <x:v>Must</x:v>
      </x:c>
      <x:c r="F972" s="37" t="str">
        <x:v>Strict-route gate</x:v>
      </x:c>
      <x:c r="G972" s="37" t="str">
        <x:v>Themed Party Room Idea Generator: Ability to add bespoke logic, components, SDKs, or developer assistance.</x:v>
      </x:c>
      <x:c r="H972" s="38" t="str">
        <x:v>Simple prompt intake, themed output pack, save/share, public landing, optional purchase.</x:v>
      </x:c>
    </x:row>
    <x:row r="973" ht="48" customHeight="1">
      <x:c r="A973" s="60" t="str">
        <x:v>DOS-053</x:v>
      </x:c>
      <x:c r="B973" s="37" t="str">
        <x:v>Themed Party Room Idea Generator</x:v>
      </x:c>
      <x:c r="C973" s="37" t="str">
        <x:v>FAM-02</x:v>
      </x:c>
      <x:c r="D973" s="37" t="str">
        <x:v>Android/mobile builder workability</x:v>
      </x:c>
      <x:c r="E973" s="37" t="str">
        <x:v>Important</x:v>
      </x:c>
      <x:c r="F973" s="37" t="str">
        <x:v>Score after gates</x:v>
      </x:c>
      <x:c r="G973" s="37" t="str">
        <x:v>Themed Party Room Idea Generator: Derek can build, edit, preview, test, and deploy with reasonable Android/mobile friction.</x:v>
      </x:c>
      <x:c r="H973" s="38" t="str">
        <x:v>Start with text/image output only; defer collaboration/events marketplace.</x:v>
      </x:c>
    </x:row>
    <x:row r="974" ht="48" customHeight="1">
      <x:c r="A974" s="60" t="str">
        <x:v>DOS-053</x:v>
      </x:c>
      <x:c r="B974" s="37" t="str">
        <x:v>Themed Party Room Idea Generator</x:v>
      </x:c>
      <x:c r="C974" s="37" t="str">
        <x:v>FAM-03</x:v>
      </x:c>
      <x:c r="D974" s="37" t="str">
        <x:v>Authentication, identity &amp; roles</x:v>
      </x:c>
      <x:c r="E974" s="37" t="str">
        <x:v>Important</x:v>
      </x:c>
      <x:c r="F974" s="37" t="str">
        <x:v>Score after gates</x:v>
      </x:c>
      <x:c r="G974" s="37" t="str">
        <x:v>Themed Party Room Idea Generator: Sign-in, role-aware access, member identity, and permissions.</x:v>
      </x:c>
      <x:c r="H974" s="38" t="str">
        <x:v>Start with text/image output only; defer collaboration/events marketplace.</x:v>
      </x:c>
    </x:row>
    <x:row r="975" ht="48" customHeight="1">
      <x:c r="A975" s="60" t="str">
        <x:v>DOS-053</x:v>
      </x:c>
      <x:c r="B975" s="37" t="str">
        <x:v>Themed Party Room Idea Generator</x:v>
      </x:c>
      <x:c r="C975" s="37" t="str">
        <x:v>FAM-13</x:v>
      </x:c>
      <x:c r="D975" s="37" t="str">
        <x:v>OCR &amp; structured extraction</x:v>
      </x:c>
      <x:c r="E975" s="37" t="str">
        <x:v>Important</x:v>
      </x:c>
      <x:c r="F975" s="37" t="str">
        <x:v>Score after gates</x:v>
      </x:c>
      <x:c r="G975" s="37" t="str">
        <x:v>Themed Party Room Idea Generator: Extract fields from screenshots, documents, receipts, or messy content.</x:v>
      </x:c>
      <x:c r="H975" s="38" t="str">
        <x:v>Start with text/image output only; defer collaboration/events marketplace.</x:v>
      </x:c>
    </x:row>
    <x:row r="976" ht="48" customHeight="1">
      <x:c r="A976" s="60" t="str">
        <x:v>DOS-053</x:v>
      </x:c>
      <x:c r="B976" s="37" t="str">
        <x:v>Themed Party Room Idea Generator</x:v>
      </x:c>
      <x:c r="C976" s="37" t="str">
        <x:v>FAM-14</x:v>
      </x:c>
      <x:c r="D976" s="37" t="str">
        <x:v>Personalization, memory &amp; preferences</x:v>
      </x:c>
      <x:c r="E976" s="37" t="str">
        <x:v>Important</x:v>
      </x:c>
      <x:c r="F976" s="37" t="str">
        <x:v>Score after gates</x:v>
      </x:c>
      <x:c r="G976" s="37" t="str">
        <x:v>Themed Party Room Idea Generator: Saved preferences, history, source memory, and adaptive outputs.</x:v>
      </x:c>
      <x:c r="H976" s="38" t="str">
        <x:v>Start with text/image output only; defer collaboration/events marketplace.</x:v>
      </x:c>
    </x:row>
    <x:row r="977" ht="48" customHeight="1">
      <x:c r="A977" s="60" t="str">
        <x:v>DOS-053</x:v>
      </x:c>
      <x:c r="B977" s="37" t="str">
        <x:v>Themed Party Room Idea Generator</x:v>
      </x:c>
      <x:c r="C977" s="37" t="str">
        <x:v>FAM-17</x:v>
      </x:c>
      <x:c r="D977" s="37" t="str">
        <x:v>Payments, subscriptions &amp; billing</x:v>
      </x:c>
      <x:c r="E977" s="37" t="str">
        <x:v>Important</x:v>
      </x:c>
      <x:c r="F977" s="37" t="str">
        <x:v>Score after gates</x:v>
      </x:c>
      <x:c r="G977" s="37" t="str">
        <x:v>Themed Party Room Idea Generator: Payments, subscriptions, checkout, entitlements, and billing-aware workflows.</x:v>
      </x:c>
      <x:c r="H977" s="38" t="str">
        <x:v>Start with text/image output only; defer collaboration/events marketplace.</x:v>
      </x:c>
    </x:row>
    <x:row r="978" ht="48" customHeight="1">
      <x:c r="A978" s="60" t="str">
        <x:v>DOS-053</x:v>
      </x:c>
      <x:c r="B978" s="37" t="str">
        <x:v>Themed Party Room Idea Generator</x:v>
      </x:c>
      <x:c r="C978" s="37" t="str">
        <x:v>FAM-25</x:v>
      </x:c>
      <x:c r="D978" s="37" t="str">
        <x:v>Analytics, reporting &amp; decision dashboards</x:v>
      </x:c>
      <x:c r="E978" s="37" t="str">
        <x:v>Important</x:v>
      </x:c>
      <x:c r="F978" s="37" t="str">
        <x:v>Score after gates</x:v>
      </x:c>
      <x:c r="G978" s="37" t="str">
        <x:v>Themed Party Room Idea Generator: Usage metrics, charts, rankings, reporting, and decision support.</x:v>
      </x:c>
      <x:c r="H978" s="38" t="str">
        <x:v>Start with text/image output only; defer collaboration/events marketplace.</x:v>
      </x:c>
    </x:row>
    <x:row r="979" ht="48" customHeight="1">
      <x:c r="A979" s="60" t="str">
        <x:v>DOS-053</x:v>
      </x:c>
      <x:c r="B979" s="37" t="str">
        <x:v>Themed Party Room Idea Generator</x:v>
      </x:c>
      <x:c r="C979" s="37" t="str">
        <x:v>FAM-29</x:v>
      </x:c>
      <x:c r="D979" s="37" t="str">
        <x:v>Backend functions, APIs &amp; background compute</x:v>
      </x:c>
      <x:c r="E979" s="37" t="str">
        <x:v>Important</x:v>
      </x:c>
      <x:c r="F979" s="37" t="str">
        <x:v>Score after gates</x:v>
      </x:c>
      <x:c r="G979" s="37" t="str">
        <x:v>Themed Party Room Idea Generator: Server functions, secure APIs, logs, queues, scheduled tasks, and secrets.</x:v>
      </x:c>
      <x:c r="H979" s="38" t="str">
        <x:v>Start with text/image output only; defer collaboration/events marketplace.</x:v>
      </x:c>
    </x:row>
    <x:row r="980" ht="48" customHeight="1">
      <x:c r="A980" s="60" t="str">
        <x:v>DOS-053</x:v>
      </x:c>
      <x:c r="B980" s="37" t="str">
        <x:v>Themed Party Room Idea Generator</x:v>
      </x:c>
      <x:c r="C980" s="37" t="str">
        <x:v>FAM-35</x:v>
      </x:c>
      <x:c r="D980" s="37" t="str">
        <x:v>Privacy, consent &amp; audit trail</x:v>
      </x:c>
      <x:c r="E980" s="37" t="str">
        <x:v>Important</x:v>
      </x:c>
      <x:c r="F980" s="37" t="str">
        <x:v>Score after gates</x:v>
      </x:c>
      <x:c r="G980" s="37" t="str">
        <x:v>Themed Party Room Idea Generator: Consent, retention, access controls, provenance, and auditable actions.</x:v>
      </x:c>
      <x:c r="H980" s="38" t="str">
        <x:v>Start with text/image output only; defer collaboration/events marketplace.</x:v>
      </x:c>
    </x:row>
    <x:row r="981" ht="48" customHeight="1">
      <x:c r="A981" s="60" t="str">
        <x:v>DOS-053</x:v>
      </x:c>
      <x:c r="B981" s="37" t="str">
        <x:v>Themed Party Room Idea Generator</x:v>
      </x:c>
      <x:c r="C981" s="37" t="str">
        <x:v>FAM-15</x:v>
      </x:c>
      <x:c r="D981" s="37" t="str">
        <x:v>Social, realtime &amp; collaboration</x:v>
      </x:c>
      <x:c r="E981" s="37" t="str">
        <x:v>Expansion</x:v>
      </x:c>
      <x:c r="F981" s="37" t="str">
        <x:v>Flexible / later only</x:v>
      </x:c>
      <x:c r="G981" s="37" t="str">
        <x:v>Themed Party Room Idea Generator: Feeds, messaging, groups, sharing, realtime updates, or multi-user creation.</x:v>
      </x:c>
      <x:c r="H981" s="38" t="str">
        <x:v>Theme packs, bookings, party planning marketplace.</x:v>
      </x:c>
    </x:row>
    <x:row r="982" ht="48" customHeight="1">
      <x:c r="A982" s="60" t="str">
        <x:v>DOS-053</x:v>
      </x:c>
      <x:c r="B982" s="37" t="str">
        <x:v>Themed Party Room Idea Generator</x:v>
      </x:c>
      <x:c r="C982" s="37" t="str">
        <x:v>FAM-20</x:v>
      </x:c>
      <x:c r="D982" s="37" t="str">
        <x:v>Notifications, reminders &amp; deadlines</x:v>
      </x:c>
      <x:c r="E982" s="37" t="str">
        <x:v>Expansion</x:v>
      </x:c>
      <x:c r="F982" s="37" t="str">
        <x:v>Flexible / later only</x:v>
      </x:c>
      <x:c r="G982" s="37" t="str">
        <x:v>Themed Party Room Idea Generator: Push/email/in-app reminders, scheduled tasks, and time-bound flows.</x:v>
      </x:c>
      <x:c r="H982" s="38" t="str">
        <x:v>Theme packs, bookings, party planning marketplace.</x:v>
      </x:c>
    </x:row>
    <x:row r="983" ht="48" customHeight="1">
      <x:c r="A983" s="60" t="str">
        <x:v>DOS-053</x:v>
      </x:c>
      <x:c r="B983" s="37" t="str">
        <x:v>Themed Party Room Idea Generator</x:v>
      </x:c>
      <x:c r="C983" s="37" t="str">
        <x:v>FAM-32</x:v>
      </x:c>
      <x:c r="D983" s="37" t="str">
        <x:v>Marketplace, templates &amp; creator assets</x:v>
      </x:c>
      <x:c r="E983" s="37" t="str">
        <x:v>Expansion</x:v>
      </x:c>
      <x:c r="F983" s="37" t="str">
        <x:v>Flexible / later only</x:v>
      </x:c>
      <x:c r="G983" s="37" t="str">
        <x:v>Themed Party Room Idea Generator: Listings, reusable assets, creator publishing, reviews, and marketplace rules.</x:v>
      </x:c>
      <x:c r="H983" s="38" t="str">
        <x:v>Theme packs, bookings, party planning marketplace.</x:v>
      </x:c>
    </x:row>
    <x:row r="984" ht="48" customHeight="1">
      <x:c r="A984" s="60" t="str">
        <x:v>DOS-053</x:v>
      </x:c>
      <x:c r="B984" s="37" t="str">
        <x:v>Themed Party Room Idea Generator</x:v>
      </x:c>
      <x:c r="C984" s="37" t="str">
        <x:v>FAM-36</x:v>
      </x:c>
      <x:c r="D984" s="37" t="str">
        <x:v>Scoring, ranking &amp; matching logic</x:v>
      </x:c>
      <x:c r="E984" s="37" t="str">
        <x:v>Expansion</x:v>
      </x:c>
      <x:c r="F984" s="37" t="str">
        <x:v>Flexible / later only</x:v>
      </x:c>
      <x:c r="G984" s="37" t="str">
        <x:v>Themed Party Room Idea Generator: Transparent scorecards, requirements matching, routes, and tie-break explanations.</x:v>
      </x:c>
      <x:c r="H984" s="38" t="str">
        <x:v>Theme packs, bookings, party planning marketplace.</x:v>
      </x:c>
    </x:row>
    <x:row r="985" ht="48" customHeight="1">
      <x:c r="A985" s="60" t="str">
        <x:v>DOS-054</x:v>
      </x:c>
      <x:c r="B985" s="37" t="str">
        <x:v>Insurance Reinvention Concepts</x:v>
      </x:c>
      <x:c r="C985" s="37" t="str">
        <x:v>FAM-01</x:v>
      </x:c>
      <x:c r="D985" s="37" t="str">
        <x:v>Responsive web / PWA interface</x:v>
      </x:c>
      <x:c r="E985" s="37" t="str">
        <x:v>Must</x:v>
      </x:c>
      <x:c r="F985" s="37" t="str">
        <x:v>Strict-route gate</x:v>
      </x:c>
      <x:c r="G985" s="37" t="str">
        <x:v>Insurance Reinvention Concepts: Mobile-first responsive screens and app-like web navigation.</x:v>
      </x:c>
      <x:c r="H985" s="38" t="str">
        <x:v>Recover exact premise, regulated role, target user, legal boundaries, offer/landing validation.</x:v>
      </x:c>
    </x:row>
    <x:row r="986" ht="48" customHeight="1">
      <x:c r="A986" s="60" t="str">
        <x:v>DOS-054</x:v>
      </x:c>
      <x:c r="B986" s="37" t="str">
        <x:v>Insurance Reinvention Concepts</x:v>
      </x:c>
      <x:c r="C986" s="37" t="str">
        <x:v>FAM-23</x:v>
      </x:c>
      <x:c r="D986" s="37" t="str">
        <x:v>Public website, SEO &amp; domain control</x:v>
      </x:c>
      <x:c r="E986" s="37" t="str">
        <x:v>Must</x:v>
      </x:c>
      <x:c r="F986" s="37" t="str">
        <x:v>Strict-route gate</x:v>
      </x:c>
      <x:c r="G986" s="37" t="str">
        <x:v>Insurance Reinvention Concepts: Public pages, discoverability, custom domain, shareability, and search metadata.</x:v>
      </x:c>
      <x:c r="H986" s="38" t="str">
        <x:v>Recover exact premise, regulated role, target user, legal boundaries, offer/landing validation.</x:v>
      </x:c>
    </x:row>
    <x:row r="987" ht="48" customHeight="1">
      <x:c r="A987" s="60" t="str">
        <x:v>DOS-054</x:v>
      </x:c>
      <x:c r="B987" s="37" t="str">
        <x:v>Insurance Reinvention Concepts</x:v>
      </x:c>
      <x:c r="C987" s="37" t="str">
        <x:v>FAM-34</x:v>
      </x:c>
      <x:c r="D987" s="37" t="str">
        <x:v>Lead capture, booking &amp; service commerce</x:v>
      </x:c>
      <x:c r="E987" s="37" t="str">
        <x:v>Must</x:v>
      </x:c>
      <x:c r="F987" s="37" t="str">
        <x:v>Strict-route gate</x:v>
      </x:c>
      <x:c r="G987" s="37" t="str">
        <x:v>Insurance Reinvention Concepts: Inquiry forms, booking, sales funnels, quotes, and service-client handoff.</x:v>
      </x:c>
      <x:c r="H987" s="38" t="str">
        <x:v>Recover exact premise, regulated role, target user, legal boundaries, offer/landing validation.</x:v>
      </x:c>
    </x:row>
    <x:row r="988" ht="48" customHeight="1">
      <x:c r="A988" s="60" t="str">
        <x:v>DOS-054</x:v>
      </x:c>
      <x:c r="B988" s="37" t="str">
        <x:v>Insurance Reinvention Concepts</x:v>
      </x:c>
      <x:c r="C988" s="37" t="str">
        <x:v>FAM-40</x:v>
      </x:c>
      <x:c r="D988" s="37" t="str">
        <x:v>Research, validation &amp; launch experiment</x:v>
      </x:c>
      <x:c r="E988" s="37" t="str">
        <x:v>Must</x:v>
      </x:c>
      <x:c r="F988" s="37" t="str">
        <x:v>Strict-route gate</x:v>
      </x:c>
      <x:c r="G988" s="37" t="str">
        <x:v>Insurance Reinvention Concepts: Landing tests, surveys, waitlists, hypotheses, experiments, and evidence capture.</x:v>
      </x:c>
      <x:c r="H988" s="38" t="str">
        <x:v>Recover exact premise, regulated role, target user, legal boundaries, offer/landing validation.</x:v>
      </x:c>
    </x:row>
    <x:row r="989" ht="48" customHeight="1">
      <x:c r="A989" s="60" t="str">
        <x:v>DOS-054</x:v>
      </x:c>
      <x:c r="B989" s="37" t="str">
        <x:v>Insurance Reinvention Concepts</x:v>
      </x:c>
      <x:c r="C989" s="37" t="str">
        <x:v>FAM-02</x:v>
      </x:c>
      <x:c r="D989" s="37" t="str">
        <x:v>Android/mobile builder workability</x:v>
      </x:c>
      <x:c r="E989" s="37" t="str">
        <x:v>Important</x:v>
      </x:c>
      <x:c r="F989" s="37" t="str">
        <x:v>Score after gates</x:v>
      </x:c>
      <x:c r="G989" s="37" t="str">
        <x:v>Insurance Reinvention Concepts: Derek can build, edit, preview, test, and deploy with reasonable Android/mobile friction.</x:v>
      </x:c>
      <x:c r="H989" s="38" t="str">
        <x:v>Do research/landing pages only; do not build policy/claims software yet.</x:v>
      </x:c>
    </x:row>
    <x:row r="990" ht="48" customHeight="1">
      <x:c r="A990" s="60" t="str">
        <x:v>DOS-054</x:v>
      </x:c>
      <x:c r="B990" s="37" t="str">
        <x:v>Insurance Reinvention Concepts</x:v>
      </x:c>
      <x:c r="C990" s="37" t="str">
        <x:v>FAM-05</x:v>
      </x:c>
      <x:c r="D990" s="37" t="str">
        <x:v>Structured database &amp; persistent records</x:v>
      </x:c>
      <x:c r="E990" s="37" t="str">
        <x:v>Important</x:v>
      </x:c>
      <x:c r="F990" s="37" t="str">
        <x:v>Score after gates</x:v>
      </x:c>
      <x:c r="G990" s="37" t="str">
        <x:v>Insurance Reinvention Concepts: Reliable structured data storage, retrieval, and updates.</x:v>
      </x:c>
      <x:c r="H990" s="38" t="str">
        <x:v>Do research/landing pages only; do not build policy/claims software yet.</x:v>
      </x:c>
    </x:row>
    <x:row r="991" ht="48" customHeight="1">
      <x:c r="A991" s="60" t="str">
        <x:v>DOS-054</x:v>
      </x:c>
      <x:c r="B991" s="37" t="str">
        <x:v>Insurance Reinvention Concepts</x:v>
      </x:c>
      <x:c r="C991" s="37" t="str">
        <x:v>FAM-25</x:v>
      </x:c>
      <x:c r="D991" s="37" t="str">
        <x:v>Analytics, reporting &amp; decision dashboards</x:v>
      </x:c>
      <x:c r="E991" s="37" t="str">
        <x:v>Important</x:v>
      </x:c>
      <x:c r="F991" s="37" t="str">
        <x:v>Score after gates</x:v>
      </x:c>
      <x:c r="G991" s="37" t="str">
        <x:v>Insurance Reinvention Concepts: Usage metrics, charts, rankings, reporting, and decision support.</x:v>
      </x:c>
      <x:c r="H991" s="38" t="str">
        <x:v>Do research/landing pages only; do not build policy/claims software yet.</x:v>
      </x:c>
    </x:row>
    <x:row r="992" ht="48" customHeight="1">
      <x:c r="A992" s="60" t="str">
        <x:v>DOS-054</x:v>
      </x:c>
      <x:c r="B992" s="37" t="str">
        <x:v>Insurance Reinvention Concepts</x:v>
      </x:c>
      <x:c r="C992" s="37" t="str">
        <x:v>FAM-26</x:v>
      </x:c>
      <x:c r="D992" s="37" t="str">
        <x:v>Admin, CMS &amp; operational management</x:v>
      </x:c>
      <x:c r="E992" s="37" t="str">
        <x:v>Important</x:v>
      </x:c>
      <x:c r="F992" s="37" t="str">
        <x:v>Score after gates</x:v>
      </x:c>
      <x:c r="G992" s="37" t="str">
        <x:v>Insurance Reinvention Concepts: Admin views, content management, operational review, and human overrides.</x:v>
      </x:c>
      <x:c r="H992" s="38" t="str">
        <x:v>Do research/landing pages only; do not build policy/claims software yet.</x:v>
      </x:c>
    </x:row>
    <x:row r="993" ht="48" customHeight="1">
      <x:c r="A993" s="60" t="str">
        <x:v>DOS-054</x:v>
      </x:c>
      <x:c r="B993" s="37" t="str">
        <x:v>Insurance Reinvention Concepts</x:v>
      </x:c>
      <x:c r="C993" s="37" t="str">
        <x:v>FAM-27</x:v>
      </x:c>
      <x:c r="D993" s="37" t="str">
        <x:v>Portability, ownership &amp; escape path</x:v>
      </x:c>
      <x:c r="E993" s="37" t="str">
        <x:v>Important</x:v>
      </x:c>
      <x:c r="F993" s="37" t="str">
        <x:v>Score after gates</x:v>
      </x:c>
      <x:c r="G993" s="37" t="str">
        <x:v>Insurance Reinvention Concepts: Code/data export, GitHub, custom domains, migration, and lock-in control.</x:v>
      </x:c>
      <x:c r="H993" s="38" t="str">
        <x:v>Do research/landing pages only; do not build policy/claims software yet.</x:v>
      </x:c>
    </x:row>
    <x:row r="994" ht="48" customHeight="1">
      <x:c r="A994" s="60" t="str">
        <x:v>DOS-054</x:v>
      </x:c>
      <x:c r="B994" s="37" t="str">
        <x:v>Insurance Reinvention Concepts</x:v>
      </x:c>
      <x:c r="C994" s="37" t="str">
        <x:v>FAM-03</x:v>
      </x:c>
      <x:c r="D994" s="37" t="str">
        <x:v>Authentication, identity &amp; roles</x:v>
      </x:c>
      <x:c r="E994" s="37" t="str">
        <x:v>Expansion</x:v>
      </x:c>
      <x:c r="F994" s="37" t="str">
        <x:v>Flexible / later only</x:v>
      </x:c>
      <x:c r="G994" s="37" t="str">
        <x:v>Insurance Reinvention Concepts: Sign-in, role-aware access, member identity, and permissions.</x:v>
      </x:c>
      <x:c r="H994" s="38" t="str">
        <x:v>Quote tools, partner marketplaces, customer portal if viable.</x:v>
      </x:c>
    </x:row>
    <x:row r="995" ht="48" customHeight="1">
      <x:c r="A995" s="60" t="str">
        <x:v>DOS-054</x:v>
      </x:c>
      <x:c r="B995" s="37" t="str">
        <x:v>Insurance Reinvention Concepts</x:v>
      </x:c>
      <x:c r="C995" s="37" t="str">
        <x:v>FAM-12</x:v>
      </x:c>
      <x:c r="D995" s="37" t="str">
        <x:v>AI text generation, analysis &amp; agents</x:v>
      </x:c>
      <x:c r="E995" s="37" t="str">
        <x:v>Expansion</x:v>
      </x:c>
      <x:c r="F995" s="37" t="str">
        <x:v>Flexible / later only</x:v>
      </x:c>
      <x:c r="G995" s="37" t="str">
        <x:v>Insurance Reinvention Concepts: Prompted generation, classification, summarization, reasoning, or assistant behavior.</x:v>
      </x:c>
      <x:c r="H995" s="38" t="str">
        <x:v>Quote tools, partner marketplaces, customer portal if viable.</x:v>
      </x:c>
    </x:row>
    <x:row r="996" ht="48" customHeight="1">
      <x:c r="A996" s="60" t="str">
        <x:v>DOS-054</x:v>
      </x:c>
      <x:c r="B996" s="37" t="str">
        <x:v>Insurance Reinvention Concepts</x:v>
      </x:c>
      <x:c r="C996" s="37" t="str">
        <x:v>FAM-17</x:v>
      </x:c>
      <x:c r="D996" s="37" t="str">
        <x:v>Payments, subscriptions &amp; billing</x:v>
      </x:c>
      <x:c r="E996" s="37" t="str">
        <x:v>Expansion</x:v>
      </x:c>
      <x:c r="F996" s="37" t="str">
        <x:v>Flexible / later only</x:v>
      </x:c>
      <x:c r="G996" s="37" t="str">
        <x:v>Insurance Reinvention Concepts: Payments, subscriptions, checkout, entitlements, and billing-aware workflows.</x:v>
      </x:c>
      <x:c r="H996" s="38" t="str">
        <x:v>Quote tools, partner marketplaces, customer portal if viable.</x:v>
      </x:c>
    </x:row>
    <x:row r="997" ht="48" customHeight="1">
      <x:c r="A997" s="60" t="str">
        <x:v>DOS-054</x:v>
      </x:c>
      <x:c r="B997" s="37" t="str">
        <x:v>Insurance Reinvention Concepts</x:v>
      </x:c>
      <x:c r="C997" s="37" t="str">
        <x:v>FAM-22</x:v>
      </x:c>
      <x:c r="D997" s="37" t="str">
        <x:v>APIs &amp; third-party integrations</x:v>
      </x:c>
      <x:c r="E997" s="37" t="str">
        <x:v>Expansion</x:v>
      </x:c>
      <x:c r="F997" s="37" t="str">
        <x:v>Flexible / later only</x:v>
      </x:c>
      <x:c r="G997" s="37" t="str">
        <x:v>Insurance Reinvention Concepts: External services, social/export targets, payment providers, and service connectors.</x:v>
      </x:c>
      <x:c r="H997" s="38" t="str">
        <x:v>Quote tools, partner marketplaces, customer portal if viable.</x:v>
      </x:c>
    </x:row>
    <x:row r="998" ht="48" customHeight="1">
      <x:c r="A998" s="60" t="str">
        <x:v>DOS-055</x:v>
      </x:c>
      <x:c r="B998" s="37" t="str">
        <x:v>Movie / TV Pitch Development Slate</x:v>
      </x:c>
      <x:c r="C998" s="37" t="str">
        <x:v>FAM-01</x:v>
      </x:c>
      <x:c r="D998" s="37" t="str">
        <x:v>Responsive web / PWA interface</x:v>
      </x:c>
      <x:c r="E998" s="37" t="str">
        <x:v>Must</x:v>
      </x:c>
      <x:c r="F998" s="37" t="str">
        <x:v>Strict-route gate</x:v>
      </x:c>
      <x:c r="G998" s="37" t="str">
        <x:v>Movie / TV Pitch Development Slate: Mobile-first responsive screens and app-like web navigation.</x:v>
      </x:c>
      <x:c r="H998" s="38" t="str">
        <x:v>Private idea vault, pitch template, proof-of-concept pages, rights/notes, selected public portfolio.</x:v>
      </x:c>
    </x:row>
    <x:row r="999" ht="48" customHeight="1">
      <x:c r="A999" s="60" t="str">
        <x:v>DOS-055</x:v>
      </x:c>
      <x:c r="B999" s="37" t="str">
        <x:v>Movie / TV Pitch Development Slate</x:v>
      </x:c>
      <x:c r="C999" s="37" t="str">
        <x:v>FAM-23</x:v>
      </x:c>
      <x:c r="D999" s="37" t="str">
        <x:v>Public website, SEO &amp; domain control</x:v>
      </x:c>
      <x:c r="E999" s="37" t="str">
        <x:v>Must</x:v>
      </x:c>
      <x:c r="F999" s="37" t="str">
        <x:v>Strict-route gate</x:v>
      </x:c>
      <x:c r="G999" s="37" t="str">
        <x:v>Movie / TV Pitch Development Slate: Public pages, discoverability, custom domain, shareability, and search metadata.</x:v>
      </x:c>
      <x:c r="H999" s="38" t="str">
        <x:v>Private idea vault, pitch template, proof-of-concept pages, rights/notes, selected public portfolio.</x:v>
      </x:c>
    </x:row>
    <x:row r="1000" ht="48" customHeight="1">
      <x:c r="A1000" s="60" t="str">
        <x:v>DOS-055</x:v>
      </x:c>
      <x:c r="B1000" s="37" t="str">
        <x:v>Movie / TV Pitch Development Slate</x:v>
      </x:c>
      <x:c r="C1000" s="37" t="str">
        <x:v>FAM-34</x:v>
      </x:c>
      <x:c r="D1000" s="37" t="str">
        <x:v>Lead capture, booking &amp; service commerce</x:v>
      </x:c>
      <x:c r="E1000" s="37" t="str">
        <x:v>Must</x:v>
      </x:c>
      <x:c r="F1000" s="37" t="str">
        <x:v>Strict-route gate</x:v>
      </x:c>
      <x:c r="G1000" s="37" t="str">
        <x:v>Movie / TV Pitch Development Slate: Inquiry forms, booking, sales funnels, quotes, and service-client handoff.</x:v>
      </x:c>
      <x:c r="H1000" s="38" t="str">
        <x:v>Private idea vault, pitch template, proof-of-concept pages, rights/notes, selected public portfolio.</x:v>
      </x:c>
    </x:row>
    <x:row r="1001" ht="48" customHeight="1">
      <x:c r="A1001" s="60" t="str">
        <x:v>DOS-055</x:v>
      </x:c>
      <x:c r="B1001" s="37" t="str">
        <x:v>Movie / TV Pitch Development Slate</x:v>
      </x:c>
      <x:c r="C1001" s="37" t="str">
        <x:v>FAM-40</x:v>
      </x:c>
      <x:c r="D1001" s="37" t="str">
        <x:v>Research, validation &amp; launch experiment</x:v>
      </x:c>
      <x:c r="E1001" s="37" t="str">
        <x:v>Must</x:v>
      </x:c>
      <x:c r="F1001" s="37" t="str">
        <x:v>Strict-route gate</x:v>
      </x:c>
      <x:c r="G1001" s="37" t="str">
        <x:v>Movie / TV Pitch Development Slate: Landing tests, surveys, waitlists, hypotheses, experiments, and evidence capture.</x:v>
      </x:c>
      <x:c r="H1001" s="38" t="str">
        <x:v>Private idea vault, pitch template, proof-of-concept pages, rights/notes, selected public portfolio.</x:v>
      </x:c>
    </x:row>
    <x:row r="1002" ht="48" customHeight="1">
      <x:c r="A1002" s="60" t="str">
        <x:v>DOS-055</x:v>
      </x:c>
      <x:c r="B1002" s="37" t="str">
        <x:v>Movie / TV Pitch Development Slate</x:v>
      </x:c>
      <x:c r="C1002" s="37" t="str">
        <x:v>FAM-02</x:v>
      </x:c>
      <x:c r="D1002" s="37" t="str">
        <x:v>Android/mobile builder workability</x:v>
      </x:c>
      <x:c r="E1002" s="37" t="str">
        <x:v>Important</x:v>
      </x:c>
      <x:c r="F1002" s="37" t="str">
        <x:v>Score after gates</x:v>
      </x:c>
      <x:c r="G1002" s="37" t="str">
        <x:v>Movie / TV Pitch Development Slate: Derek can build, edit, preview, test, and deploy with reasonable Android/mobile friction.</x:v>
      </x:c>
      <x:c r="H1002" s="38" t="str">
        <x:v>Preserve/recover premises before building a public discovery or production platform.</x:v>
      </x:c>
    </x:row>
    <x:row r="1003" ht="48" customHeight="1">
      <x:c r="A1003" s="60" t="str">
        <x:v>DOS-055</x:v>
      </x:c>
      <x:c r="B1003" s="37" t="str">
        <x:v>Movie / TV Pitch Development Slate</x:v>
      </x:c>
      <x:c r="C1003" s="37" t="str">
        <x:v>FAM-05</x:v>
      </x:c>
      <x:c r="D1003" s="37" t="str">
        <x:v>Structured database &amp; persistent records</x:v>
      </x:c>
      <x:c r="E1003" s="37" t="str">
        <x:v>Important</x:v>
      </x:c>
      <x:c r="F1003" s="37" t="str">
        <x:v>Score after gates</x:v>
      </x:c>
      <x:c r="G1003" s="37" t="str">
        <x:v>Movie / TV Pitch Development Slate: Reliable structured data storage, retrieval, and updates.</x:v>
      </x:c>
      <x:c r="H1003" s="38" t="str">
        <x:v>Preserve/recover premises before building a public discovery or production platform.</x:v>
      </x:c>
    </x:row>
    <x:row r="1004" ht="48" customHeight="1">
      <x:c r="A1004" s="60" t="str">
        <x:v>DOS-055</x:v>
      </x:c>
      <x:c r="B1004" s="37" t="str">
        <x:v>Movie / TV Pitch Development Slate</x:v>
      </x:c>
      <x:c r="C1004" s="37" t="str">
        <x:v>FAM-25</x:v>
      </x:c>
      <x:c r="D1004" s="37" t="str">
        <x:v>Analytics, reporting &amp; decision dashboards</x:v>
      </x:c>
      <x:c r="E1004" s="37" t="str">
        <x:v>Important</x:v>
      </x:c>
      <x:c r="F1004" s="37" t="str">
        <x:v>Score after gates</x:v>
      </x:c>
      <x:c r="G1004" s="37" t="str">
        <x:v>Movie / TV Pitch Development Slate: Usage metrics, charts, rankings, reporting, and decision support.</x:v>
      </x:c>
      <x:c r="H1004" s="38" t="str">
        <x:v>Preserve/recover premises before building a public discovery or production platform.</x:v>
      </x:c>
    </x:row>
    <x:row r="1005" ht="48" customHeight="1">
      <x:c r="A1005" s="60" t="str">
        <x:v>DOS-055</x:v>
      </x:c>
      <x:c r="B1005" s="37" t="str">
        <x:v>Movie / TV Pitch Development Slate</x:v>
      </x:c>
      <x:c r="C1005" s="37" t="str">
        <x:v>FAM-26</x:v>
      </x:c>
      <x:c r="D1005" s="37" t="str">
        <x:v>Admin, CMS &amp; operational management</x:v>
      </x:c>
      <x:c r="E1005" s="37" t="str">
        <x:v>Important</x:v>
      </x:c>
      <x:c r="F1005" s="37" t="str">
        <x:v>Score after gates</x:v>
      </x:c>
      <x:c r="G1005" s="37" t="str">
        <x:v>Movie / TV Pitch Development Slate: Admin views, content management, operational review, and human overrides.</x:v>
      </x:c>
      <x:c r="H1005" s="38" t="str">
        <x:v>Preserve/recover premises before building a public discovery or production platform.</x:v>
      </x:c>
    </x:row>
    <x:row r="1006" ht="48" customHeight="1">
      <x:c r="A1006" s="60" t="str">
        <x:v>DOS-055</x:v>
      </x:c>
      <x:c r="B1006" s="37" t="str">
        <x:v>Movie / TV Pitch Development Slate</x:v>
      </x:c>
      <x:c r="C1006" s="37" t="str">
        <x:v>FAM-27</x:v>
      </x:c>
      <x:c r="D1006" s="37" t="str">
        <x:v>Portability, ownership &amp; escape path</x:v>
      </x:c>
      <x:c r="E1006" s="37" t="str">
        <x:v>Important</x:v>
      </x:c>
      <x:c r="F1006" s="37" t="str">
        <x:v>Score after gates</x:v>
      </x:c>
      <x:c r="G1006" s="37" t="str">
        <x:v>Movie / TV Pitch Development Slate: Code/data export, GitHub, custom domains, migration, and lock-in control.</x:v>
      </x:c>
      <x:c r="H1006" s="38" t="str">
        <x:v>Preserve/recover premises before building a public discovery or production platform.</x:v>
      </x:c>
    </x:row>
    <x:row r="1007" ht="48" customHeight="1">
      <x:c r="A1007" s="60" t="str">
        <x:v>DOS-055</x:v>
      </x:c>
      <x:c r="B1007" s="37" t="str">
        <x:v>Movie / TV Pitch Development Slate</x:v>
      </x:c>
      <x:c r="C1007" s="37" t="str">
        <x:v>FAM-03</x:v>
      </x:c>
      <x:c r="D1007" s="37" t="str">
        <x:v>Authentication, identity &amp; roles</x:v>
      </x:c>
      <x:c r="E1007" s="37" t="str">
        <x:v>Expansion</x:v>
      </x:c>
      <x:c r="F1007" s="37" t="str">
        <x:v>Flexible / later only</x:v>
      </x:c>
      <x:c r="G1007" s="37" t="str">
        <x:v>Movie / TV Pitch Development Slate: Sign-in, role-aware access, member identity, and permissions.</x:v>
      </x:c>
      <x:c r="H1007" s="38" t="str">
        <x:v>Creator collaborations, pitch marketplace, production pipeline.</x:v>
      </x:c>
    </x:row>
    <x:row r="1008" ht="48" customHeight="1">
      <x:c r="A1008" s="60" t="str">
        <x:v>DOS-055</x:v>
      </x:c>
      <x:c r="B1008" s="37" t="str">
        <x:v>Movie / TV Pitch Development Slate</x:v>
      </x:c>
      <x:c r="C1008" s="37" t="str">
        <x:v>FAM-12</x:v>
      </x:c>
      <x:c r="D1008" s="37" t="str">
        <x:v>AI text generation, analysis &amp; agents</x:v>
      </x:c>
      <x:c r="E1008" s="37" t="str">
        <x:v>Expansion</x:v>
      </x:c>
      <x:c r="F1008" s="37" t="str">
        <x:v>Flexible / later only</x:v>
      </x:c>
      <x:c r="G1008" s="37" t="str">
        <x:v>Movie / TV Pitch Development Slate: Prompted generation, classification, summarization, reasoning, or assistant behavior.</x:v>
      </x:c>
      <x:c r="H1008" s="38" t="str">
        <x:v>Creator collaborations, pitch marketplace, production pipeline.</x:v>
      </x:c>
    </x:row>
    <x:row r="1009" ht="48" customHeight="1">
      <x:c r="A1009" s="60" t="str">
        <x:v>DOS-055</x:v>
      </x:c>
      <x:c r="B1009" s="37" t="str">
        <x:v>Movie / TV Pitch Development Slate</x:v>
      </x:c>
      <x:c r="C1009" s="37" t="str">
        <x:v>FAM-17</x:v>
      </x:c>
      <x:c r="D1009" s="37" t="str">
        <x:v>Payments, subscriptions &amp; billing</x:v>
      </x:c>
      <x:c r="E1009" s="37" t="str">
        <x:v>Expansion</x:v>
      </x:c>
      <x:c r="F1009" s="37" t="str">
        <x:v>Flexible / later only</x:v>
      </x:c>
      <x:c r="G1009" s="37" t="str">
        <x:v>Movie / TV Pitch Development Slate: Payments, subscriptions, checkout, entitlements, and billing-aware workflows.</x:v>
      </x:c>
      <x:c r="H1009" s="38" t="str">
        <x:v>Creator collaborations, pitch marketplace, production pipeline.</x:v>
      </x:c>
    </x:row>
    <x:row r="1010" ht="48" customHeight="1">
      <x:c r="A1010" s="60" t="str">
        <x:v>DOS-055</x:v>
      </x:c>
      <x:c r="B1010" s="37" t="str">
        <x:v>Movie / TV Pitch Development Slate</x:v>
      </x:c>
      <x:c r="C1010" s="37" t="str">
        <x:v>FAM-22</x:v>
      </x:c>
      <x:c r="D1010" s="37" t="str">
        <x:v>APIs &amp; third-party integrations</x:v>
      </x:c>
      <x:c r="E1010" s="37" t="str">
        <x:v>Expansion</x:v>
      </x:c>
      <x:c r="F1010" s="37" t="str">
        <x:v>Flexible / later only</x:v>
      </x:c>
      <x:c r="G1010" s="37" t="str">
        <x:v>Movie / TV Pitch Development Slate: External services, social/export targets, payment providers, and service connectors.</x:v>
      </x:c>
      <x:c r="H1010" s="38" t="str">
        <x:v>Creator collaborations, pitch marketplace, production pipeline.</x:v>
      </x:c>
    </x:row>
    <x:row r="1011" ht="48" customHeight="1">
      <x:c r="A1011" s="60" t="str">
        <x:v>DOS-056</x:v>
      </x:c>
      <x:c r="B1011" s="37" t="str">
        <x:v>Balanced Party</x:v>
      </x:c>
      <x:c r="C1011" s="37" t="str">
        <x:v>FAM-01</x:v>
      </x:c>
      <x:c r="D1011" s="37" t="str">
        <x:v>Responsive web / PWA interface</x:v>
      </x:c>
      <x:c r="E1011" s="37" t="str">
        <x:v>Must</x:v>
      </x:c>
      <x:c r="F1011" s="37" t="str">
        <x:v>Strict-route gate</x:v>
      </x:c>
      <x:c r="G1011" s="37" t="str">
        <x:v>Balanced Party: Mobile-first responsive screens and app-like web navigation.</x:v>
      </x:c>
      <x:c r="H1011" s="38" t="str">
        <x:v>Recover premise, intended users, ethical boundaries, product/service form, and first validation test.</x:v>
      </x:c>
    </x:row>
    <x:row r="1012" ht="48" customHeight="1">
      <x:c r="A1012" s="60" t="str">
        <x:v>DOS-056</x:v>
      </x:c>
      <x:c r="B1012" s="37" t="str">
        <x:v>Balanced Party</x:v>
      </x:c>
      <x:c r="C1012" s="37" t="str">
        <x:v>FAM-23</x:v>
      </x:c>
      <x:c r="D1012" s="37" t="str">
        <x:v>Public website, SEO &amp; domain control</x:v>
      </x:c>
      <x:c r="E1012" s="37" t="str">
        <x:v>Must</x:v>
      </x:c>
      <x:c r="F1012" s="37" t="str">
        <x:v>Strict-route gate</x:v>
      </x:c>
      <x:c r="G1012" s="37" t="str">
        <x:v>Balanced Party: Public pages, discoverability, custom domain, shareability, and search metadata.</x:v>
      </x:c>
      <x:c r="H1012" s="38" t="str">
        <x:v>Recover premise, intended users, ethical boundaries, product/service form, and first validation test.</x:v>
      </x:c>
    </x:row>
    <x:row r="1013" ht="48" customHeight="1">
      <x:c r="A1013" s="60" t="str">
        <x:v>DOS-056</x:v>
      </x:c>
      <x:c r="B1013" s="37" t="str">
        <x:v>Balanced Party</x:v>
      </x:c>
      <x:c r="C1013" s="37" t="str">
        <x:v>FAM-34</x:v>
      </x:c>
      <x:c r="D1013" s="37" t="str">
        <x:v>Lead capture, booking &amp; service commerce</x:v>
      </x:c>
      <x:c r="E1013" s="37" t="str">
        <x:v>Must</x:v>
      </x:c>
      <x:c r="F1013" s="37" t="str">
        <x:v>Strict-route gate</x:v>
      </x:c>
      <x:c r="G1013" s="37" t="str">
        <x:v>Balanced Party: Inquiry forms, booking, sales funnels, quotes, and service-client handoff.</x:v>
      </x:c>
      <x:c r="H1013" s="38" t="str">
        <x:v>Recover premise, intended users, ethical boundaries, product/service form, and first validation test.</x:v>
      </x:c>
    </x:row>
    <x:row r="1014" ht="48" customHeight="1">
      <x:c r="A1014" s="60" t="str">
        <x:v>DOS-056</x:v>
      </x:c>
      <x:c r="B1014" s="37" t="str">
        <x:v>Balanced Party</x:v>
      </x:c>
      <x:c r="C1014" s="37" t="str">
        <x:v>FAM-40</x:v>
      </x:c>
      <x:c r="D1014" s="37" t="str">
        <x:v>Research, validation &amp; launch experiment</x:v>
      </x:c>
      <x:c r="E1014" s="37" t="str">
        <x:v>Must</x:v>
      </x:c>
      <x:c r="F1014" s="37" t="str">
        <x:v>Strict-route gate</x:v>
      </x:c>
      <x:c r="G1014" s="37" t="str">
        <x:v>Balanced Party: Landing tests, surveys, waitlists, hypotheses, experiments, and evidence capture.</x:v>
      </x:c>
      <x:c r="H1014" s="38" t="str">
        <x:v>Recover premise, intended users, ethical boundaries, product/service form, and first validation test.</x:v>
      </x:c>
    </x:row>
    <x:row r="1015" ht="48" customHeight="1">
      <x:c r="A1015" s="60" t="str">
        <x:v>DOS-056</x:v>
      </x:c>
      <x:c r="B1015" s="37" t="str">
        <x:v>Balanced Party</x:v>
      </x:c>
      <x:c r="C1015" s="37" t="str">
        <x:v>FAM-02</x:v>
      </x:c>
      <x:c r="D1015" s="37" t="str">
        <x:v>Android/mobile builder workability</x:v>
      </x:c>
      <x:c r="E1015" s="37" t="str">
        <x:v>Important</x:v>
      </x:c>
      <x:c r="F1015" s="37" t="str">
        <x:v>Score after gates</x:v>
      </x:c>
      <x:c r="G1015" s="37" t="str">
        <x:v>Balanced Party: Derek can build, edit, preview, test, and deploy with reasonable Android/mobile friction.</x:v>
      </x:c>
      <x:c r="H1015" s="38" t="str">
        <x:v>Do not compare builders beyond a simple research/landing route until premise exists.</x:v>
      </x:c>
    </x:row>
    <x:row r="1016" ht="48" customHeight="1">
      <x:c r="A1016" s="60" t="str">
        <x:v>DOS-056</x:v>
      </x:c>
      <x:c r="B1016" s="37" t="str">
        <x:v>Balanced Party</x:v>
      </x:c>
      <x:c r="C1016" s="37" t="str">
        <x:v>FAM-05</x:v>
      </x:c>
      <x:c r="D1016" s="37" t="str">
        <x:v>Structured database &amp; persistent records</x:v>
      </x:c>
      <x:c r="E1016" s="37" t="str">
        <x:v>Important</x:v>
      </x:c>
      <x:c r="F1016" s="37" t="str">
        <x:v>Score after gates</x:v>
      </x:c>
      <x:c r="G1016" s="37" t="str">
        <x:v>Balanced Party: Reliable structured data storage, retrieval, and updates.</x:v>
      </x:c>
      <x:c r="H1016" s="38" t="str">
        <x:v>Do not compare builders beyond a simple research/landing route until premise exists.</x:v>
      </x:c>
    </x:row>
    <x:row r="1017" ht="48" customHeight="1">
      <x:c r="A1017" s="60" t="str">
        <x:v>DOS-056</x:v>
      </x:c>
      <x:c r="B1017" s="37" t="str">
        <x:v>Balanced Party</x:v>
      </x:c>
      <x:c r="C1017" s="37" t="str">
        <x:v>FAM-25</x:v>
      </x:c>
      <x:c r="D1017" s="37" t="str">
        <x:v>Analytics, reporting &amp; decision dashboards</x:v>
      </x:c>
      <x:c r="E1017" s="37" t="str">
        <x:v>Important</x:v>
      </x:c>
      <x:c r="F1017" s="37" t="str">
        <x:v>Score after gates</x:v>
      </x:c>
      <x:c r="G1017" s="37" t="str">
        <x:v>Balanced Party: Usage metrics, charts, rankings, reporting, and decision support.</x:v>
      </x:c>
      <x:c r="H1017" s="38" t="str">
        <x:v>Do not compare builders beyond a simple research/landing route until premise exists.</x:v>
      </x:c>
    </x:row>
    <x:row r="1018" ht="48" customHeight="1">
      <x:c r="A1018" s="60" t="str">
        <x:v>DOS-056</x:v>
      </x:c>
      <x:c r="B1018" s="37" t="str">
        <x:v>Balanced Party</x:v>
      </x:c>
      <x:c r="C1018" s="37" t="str">
        <x:v>FAM-26</x:v>
      </x:c>
      <x:c r="D1018" s="37" t="str">
        <x:v>Admin, CMS &amp; operational management</x:v>
      </x:c>
      <x:c r="E1018" s="37" t="str">
        <x:v>Important</x:v>
      </x:c>
      <x:c r="F1018" s="37" t="str">
        <x:v>Score after gates</x:v>
      </x:c>
      <x:c r="G1018" s="37" t="str">
        <x:v>Balanced Party: Admin views, content management, operational review, and human overrides.</x:v>
      </x:c>
      <x:c r="H1018" s="38" t="str">
        <x:v>Do not compare builders beyond a simple research/landing route until premise exists.</x:v>
      </x:c>
    </x:row>
    <x:row r="1019" ht="48" customHeight="1">
      <x:c r="A1019" s="60" t="str">
        <x:v>DOS-056</x:v>
      </x:c>
      <x:c r="B1019" s="37" t="str">
        <x:v>Balanced Party</x:v>
      </x:c>
      <x:c r="C1019" s="37" t="str">
        <x:v>FAM-27</x:v>
      </x:c>
      <x:c r="D1019" s="37" t="str">
        <x:v>Portability, ownership &amp; escape path</x:v>
      </x:c>
      <x:c r="E1019" s="37" t="str">
        <x:v>Important</x:v>
      </x:c>
      <x:c r="F1019" s="37" t="str">
        <x:v>Score after gates</x:v>
      </x:c>
      <x:c r="G1019" s="37" t="str">
        <x:v>Balanced Party: Code/data export, GitHub, custom domains, migration, and lock-in control.</x:v>
      </x:c>
      <x:c r="H1019" s="38" t="str">
        <x:v>Do not compare builders beyond a simple research/landing route until premise exists.</x:v>
      </x:c>
    </x:row>
    <x:row r="1020" ht="48" customHeight="1">
      <x:c r="A1020" s="60" t="str">
        <x:v>DOS-056</x:v>
      </x:c>
      <x:c r="B1020" s="37" t="str">
        <x:v>Balanced Party</x:v>
      </x:c>
      <x:c r="C1020" s="37" t="str">
        <x:v>FAM-03</x:v>
      </x:c>
      <x:c r="D1020" s="37" t="str">
        <x:v>Authentication, identity &amp; roles</x:v>
      </x:c>
      <x:c r="E1020" s="37" t="str">
        <x:v>Expansion</x:v>
      </x:c>
      <x:c r="F1020" s="37" t="str">
        <x:v>Flexible / later only</x:v>
      </x:c>
      <x:c r="G1020" s="37" t="str">
        <x:v>Balanced Party: Sign-in, role-aware access, member identity, and permissions.</x:v>
      </x:c>
      <x:c r="H1020" s="38" t="str">
        <x:v>Platform/site/service depending recovered scope.</x:v>
      </x:c>
    </x:row>
    <x:row r="1021" ht="48" customHeight="1">
      <x:c r="A1021" s="60" t="str">
        <x:v>DOS-056</x:v>
      </x:c>
      <x:c r="B1021" s="37" t="str">
        <x:v>Balanced Party</x:v>
      </x:c>
      <x:c r="C1021" s="37" t="str">
        <x:v>FAM-12</x:v>
      </x:c>
      <x:c r="D1021" s="37" t="str">
        <x:v>AI text generation, analysis &amp; agents</x:v>
      </x:c>
      <x:c r="E1021" s="37" t="str">
        <x:v>Expansion</x:v>
      </x:c>
      <x:c r="F1021" s="37" t="str">
        <x:v>Flexible / later only</x:v>
      </x:c>
      <x:c r="G1021" s="37" t="str">
        <x:v>Balanced Party: Prompted generation, classification, summarization, reasoning, or assistant behavior.</x:v>
      </x:c>
      <x:c r="H1021" s="38" t="str">
        <x:v>Platform/site/service depending recovered scope.</x:v>
      </x:c>
    </x:row>
    <x:row r="1022" ht="48" customHeight="1">
      <x:c r="A1022" s="60" t="str">
        <x:v>DOS-056</x:v>
      </x:c>
      <x:c r="B1022" s="37" t="str">
        <x:v>Balanced Party</x:v>
      </x:c>
      <x:c r="C1022" s="37" t="str">
        <x:v>FAM-17</x:v>
      </x:c>
      <x:c r="D1022" s="37" t="str">
        <x:v>Payments, subscriptions &amp; billing</x:v>
      </x:c>
      <x:c r="E1022" s="37" t="str">
        <x:v>Expansion</x:v>
      </x:c>
      <x:c r="F1022" s="37" t="str">
        <x:v>Flexible / later only</x:v>
      </x:c>
      <x:c r="G1022" s="37" t="str">
        <x:v>Balanced Party: Payments, subscriptions, checkout, entitlements, and billing-aware workflows.</x:v>
      </x:c>
      <x:c r="H1022" s="38" t="str">
        <x:v>Platform/site/service depending recovered scope.</x:v>
      </x:c>
    </x:row>
    <x:row r="1023" ht="48" customHeight="1">
      <x:c r="A1023" s="60" t="str">
        <x:v>DOS-056</x:v>
      </x:c>
      <x:c r="B1023" s="37" t="str">
        <x:v>Balanced Party</x:v>
      </x:c>
      <x:c r="C1023" s="37" t="str">
        <x:v>FAM-22</x:v>
      </x:c>
      <x:c r="D1023" s="37" t="str">
        <x:v>APIs &amp; third-party integrations</x:v>
      </x:c>
      <x:c r="E1023" s="37" t="str">
        <x:v>Expansion</x:v>
      </x:c>
      <x:c r="F1023" s="37" t="str">
        <x:v>Flexible / later only</x:v>
      </x:c>
      <x:c r="G1023" s="37" t="str">
        <x:v>Balanced Party: External services, social/export targets, payment providers, and service connectors.</x:v>
      </x:c>
      <x:c r="H1023" s="38" t="str">
        <x:v>Platform/site/service depending recovered scope.</x:v>
      </x:c>
    </x:row>
    <x:row r="1024" ht="48" customHeight="1">
      <x:c r="A1024" s="60" t="str">
        <x:v>DOS-057</x:v>
      </x:c>
      <x:c r="B1024" s="37" t="str">
        <x:v>Domain Investment &amp; Marketplace Research</x:v>
      </x:c>
      <x:c r="C1024" s="37" t="str">
        <x:v>FAM-01</x:v>
      </x:c>
      <x:c r="D1024" s="37" t="str">
        <x:v>Responsive web / PWA interface</x:v>
      </x:c>
      <x:c r="E1024" s="37" t="str">
        <x:v>Must</x:v>
      </x:c>
      <x:c r="F1024" s="37" t="str">
        <x:v>Strict-route gate</x:v>
      </x:c>
      <x:c r="G1024" s="37" t="str">
        <x:v>Domain Investment &amp; Marketplace Research: Mobile-first responsive screens and app-like web navigation.</x:v>
      </x:c>
      <x:c r="H1024" s="38" t="str">
        <x:v>Clarify legal/technical model, market, trust/ownership risks, and simple informational/validation site.</x:v>
      </x:c>
    </x:row>
    <x:row r="1025" ht="48" customHeight="1">
      <x:c r="A1025" s="60" t="str">
        <x:v>DOS-057</x:v>
      </x:c>
      <x:c r="B1025" s="37" t="str">
        <x:v>Domain Investment &amp; Marketplace Research</x:v>
      </x:c>
      <x:c r="C1025" s="37" t="str">
        <x:v>FAM-23</x:v>
      </x:c>
      <x:c r="D1025" s="37" t="str">
        <x:v>Public website, SEO &amp; domain control</x:v>
      </x:c>
      <x:c r="E1025" s="37" t="str">
        <x:v>Must</x:v>
      </x:c>
      <x:c r="F1025" s="37" t="str">
        <x:v>Strict-route gate</x:v>
      </x:c>
      <x:c r="G1025" s="37" t="str">
        <x:v>Domain Investment &amp; Marketplace Research: Public pages, discoverability, custom domain, shareability, and search metadata.</x:v>
      </x:c>
      <x:c r="H1025" s="38" t="str">
        <x:v>Clarify legal/technical model, market, trust/ownership risks, and simple informational/validation site.</x:v>
      </x:c>
    </x:row>
    <x:row r="1026" ht="48" customHeight="1">
      <x:c r="A1026" s="60" t="str">
        <x:v>DOS-057</x:v>
      </x:c>
      <x:c r="B1026" s="37" t="str">
        <x:v>Domain Investment &amp; Marketplace Research</x:v>
      </x:c>
      <x:c r="C1026" s="37" t="str">
        <x:v>FAM-34</x:v>
      </x:c>
      <x:c r="D1026" s="37" t="str">
        <x:v>Lead capture, booking &amp; service commerce</x:v>
      </x:c>
      <x:c r="E1026" s="37" t="str">
        <x:v>Must</x:v>
      </x:c>
      <x:c r="F1026" s="37" t="str">
        <x:v>Strict-route gate</x:v>
      </x:c>
      <x:c r="G1026" s="37" t="str">
        <x:v>Domain Investment &amp; Marketplace Research: Inquiry forms, booking, sales funnels, quotes, and service-client handoff.</x:v>
      </x:c>
      <x:c r="H1026" s="38" t="str">
        <x:v>Clarify legal/technical model, market, trust/ownership risks, and simple informational/validation site.</x:v>
      </x:c>
    </x:row>
    <x:row r="1027" ht="48" customHeight="1">
      <x:c r="A1027" s="60" t="str">
        <x:v>DOS-057</x:v>
      </x:c>
      <x:c r="B1027" s="37" t="str">
        <x:v>Domain Investment &amp; Marketplace Research</x:v>
      </x:c>
      <x:c r="C1027" s="37" t="str">
        <x:v>FAM-40</x:v>
      </x:c>
      <x:c r="D1027" s="37" t="str">
        <x:v>Research, validation &amp; launch experiment</x:v>
      </x:c>
      <x:c r="E1027" s="37" t="str">
        <x:v>Must</x:v>
      </x:c>
      <x:c r="F1027" s="37" t="str">
        <x:v>Strict-route gate</x:v>
      </x:c>
      <x:c r="G1027" s="37" t="str">
        <x:v>Domain Investment &amp; Marketplace Research: Landing tests, surveys, waitlists, hypotheses, experiments, and evidence capture.</x:v>
      </x:c>
      <x:c r="H1027" s="38" t="str">
        <x:v>Clarify legal/technical model, market, trust/ownership risks, and simple informational/validation site.</x:v>
      </x:c>
    </x:row>
    <x:row r="1028" ht="48" customHeight="1">
      <x:c r="A1028" s="60" t="str">
        <x:v>DOS-057</x:v>
      </x:c>
      <x:c r="B1028" s="37" t="str">
        <x:v>Domain Investment &amp; Marketplace Research</x:v>
      </x:c>
      <x:c r="C1028" s="37" t="str">
        <x:v>FAM-02</x:v>
      </x:c>
      <x:c r="D1028" s="37" t="str">
        <x:v>Android/mobile builder workability</x:v>
      </x:c>
      <x:c r="E1028" s="37" t="str">
        <x:v>Important</x:v>
      </x:c>
      <x:c r="F1028" s="37" t="str">
        <x:v>Score after gates</x:v>
      </x:c>
      <x:c r="G1028" s="37" t="str">
        <x:v>Domain Investment &amp; Marketplace Research: Derek can build, edit, preview, test, and deploy with reasonable Android/mobile friction.</x:v>
      </x:c>
      <x:c r="H1028" s="38" t="str">
        <x:v>Research and concept validation only; defer financial platform build.</x:v>
      </x:c>
    </x:row>
    <x:row r="1029" ht="48" customHeight="1">
      <x:c r="A1029" s="60" t="str">
        <x:v>DOS-057</x:v>
      </x:c>
      <x:c r="B1029" s="37" t="str">
        <x:v>Domain Investment &amp; Marketplace Research</x:v>
      </x:c>
      <x:c r="C1029" s="37" t="str">
        <x:v>FAM-05</x:v>
      </x:c>
      <x:c r="D1029" s="37" t="str">
        <x:v>Structured database &amp; persistent records</x:v>
      </x:c>
      <x:c r="E1029" s="37" t="str">
        <x:v>Important</x:v>
      </x:c>
      <x:c r="F1029" s="37" t="str">
        <x:v>Score after gates</x:v>
      </x:c>
      <x:c r="G1029" s="37" t="str">
        <x:v>Domain Investment &amp; Marketplace Research: Reliable structured data storage, retrieval, and updates.</x:v>
      </x:c>
      <x:c r="H1029" s="38" t="str">
        <x:v>Research and concept validation only; defer financial platform build.</x:v>
      </x:c>
    </x:row>
    <x:row r="1030" ht="48" customHeight="1">
      <x:c r="A1030" s="60" t="str">
        <x:v>DOS-057</x:v>
      </x:c>
      <x:c r="B1030" s="37" t="str">
        <x:v>Domain Investment &amp; Marketplace Research</x:v>
      </x:c>
      <x:c r="C1030" s="37" t="str">
        <x:v>FAM-25</x:v>
      </x:c>
      <x:c r="D1030" s="37" t="str">
        <x:v>Analytics, reporting &amp; decision dashboards</x:v>
      </x:c>
      <x:c r="E1030" s="37" t="str">
        <x:v>Important</x:v>
      </x:c>
      <x:c r="F1030" s="37" t="str">
        <x:v>Score after gates</x:v>
      </x:c>
      <x:c r="G1030" s="37" t="str">
        <x:v>Domain Investment &amp; Marketplace Research: Usage metrics, charts, rankings, reporting, and decision support.</x:v>
      </x:c>
      <x:c r="H1030" s="38" t="str">
        <x:v>Research and concept validation only; defer financial platform build.</x:v>
      </x:c>
    </x:row>
    <x:row r="1031" ht="48" customHeight="1">
      <x:c r="A1031" s="60" t="str">
        <x:v>DOS-057</x:v>
      </x:c>
      <x:c r="B1031" s="37" t="str">
        <x:v>Domain Investment &amp; Marketplace Research</x:v>
      </x:c>
      <x:c r="C1031" s="37" t="str">
        <x:v>FAM-26</x:v>
      </x:c>
      <x:c r="D1031" s="37" t="str">
        <x:v>Admin, CMS &amp; operational management</x:v>
      </x:c>
      <x:c r="E1031" s="37" t="str">
        <x:v>Important</x:v>
      </x:c>
      <x:c r="F1031" s="37" t="str">
        <x:v>Score after gates</x:v>
      </x:c>
      <x:c r="G1031" s="37" t="str">
        <x:v>Domain Investment &amp; Marketplace Research: Admin views, content management, operational review, and human overrides.</x:v>
      </x:c>
      <x:c r="H1031" s="38" t="str">
        <x:v>Research and concept validation only; defer financial platform build.</x:v>
      </x:c>
    </x:row>
    <x:row r="1032" ht="48" customHeight="1">
      <x:c r="A1032" s="60" t="str">
        <x:v>DOS-057</x:v>
      </x:c>
      <x:c r="B1032" s="37" t="str">
        <x:v>Domain Investment &amp; Marketplace Research</x:v>
      </x:c>
      <x:c r="C1032" s="37" t="str">
        <x:v>FAM-27</x:v>
      </x:c>
      <x:c r="D1032" s="37" t="str">
        <x:v>Portability, ownership &amp; escape path</x:v>
      </x:c>
      <x:c r="E1032" s="37" t="str">
        <x:v>Important</x:v>
      </x:c>
      <x:c r="F1032" s="37" t="str">
        <x:v>Score after gates</x:v>
      </x:c>
      <x:c r="G1032" s="37" t="str">
        <x:v>Domain Investment &amp; Marketplace Research: Code/data export, GitHub, custom domains, migration, and lock-in control.</x:v>
      </x:c>
      <x:c r="H1032" s="38" t="str">
        <x:v>Research and concept validation only; defer financial platform build.</x:v>
      </x:c>
    </x:row>
    <x:row r="1033" ht="48" customHeight="1">
      <x:c r="A1033" s="60" t="str">
        <x:v>DOS-057</x:v>
      </x:c>
      <x:c r="B1033" s="37" t="str">
        <x:v>Domain Investment &amp; Marketplace Research</x:v>
      </x:c>
      <x:c r="C1033" s="37" t="str">
        <x:v>FAM-03</x:v>
      </x:c>
      <x:c r="D1033" s="37" t="str">
        <x:v>Authentication, identity &amp; roles</x:v>
      </x:c>
      <x:c r="E1033" s="37" t="str">
        <x:v>Expansion</x:v>
      </x:c>
      <x:c r="F1033" s="37" t="str">
        <x:v>Flexible / later only</x:v>
      </x:c>
      <x:c r="G1033" s="37" t="str">
        <x:v>Domain Investment &amp; Marketplace Research: Sign-in, role-aware access, member identity, and permissions.</x:v>
      </x:c>
      <x:c r="H1033" s="38" t="str">
        <x:v>Marketplace, reserve system, domain services.</x:v>
      </x:c>
    </x:row>
    <x:row r="1034" ht="48" customHeight="1">
      <x:c r="A1034" s="60" t="str">
        <x:v>DOS-057</x:v>
      </x:c>
      <x:c r="B1034" s="37" t="str">
        <x:v>Domain Investment &amp; Marketplace Research</x:v>
      </x:c>
      <x:c r="C1034" s="37" t="str">
        <x:v>FAM-12</x:v>
      </x:c>
      <x:c r="D1034" s="37" t="str">
        <x:v>AI text generation, analysis &amp; agents</x:v>
      </x:c>
      <x:c r="E1034" s="37" t="str">
        <x:v>Expansion</x:v>
      </x:c>
      <x:c r="F1034" s="37" t="str">
        <x:v>Flexible / later only</x:v>
      </x:c>
      <x:c r="G1034" s="37" t="str">
        <x:v>Domain Investment &amp; Marketplace Research: Prompted generation, classification, summarization, reasoning, or assistant behavior.</x:v>
      </x:c>
      <x:c r="H1034" s="38" t="str">
        <x:v>Marketplace, reserve system, domain services.</x:v>
      </x:c>
    </x:row>
    <x:row r="1035" ht="48" customHeight="1">
      <x:c r="A1035" s="60" t="str">
        <x:v>DOS-057</x:v>
      </x:c>
      <x:c r="B1035" s="37" t="str">
        <x:v>Domain Investment &amp; Marketplace Research</x:v>
      </x:c>
      <x:c r="C1035" s="37" t="str">
        <x:v>FAM-17</x:v>
      </x:c>
      <x:c r="D1035" s="37" t="str">
        <x:v>Payments, subscriptions &amp; billing</x:v>
      </x:c>
      <x:c r="E1035" s="37" t="str">
        <x:v>Expansion</x:v>
      </x:c>
      <x:c r="F1035" s="37" t="str">
        <x:v>Flexible / later only</x:v>
      </x:c>
      <x:c r="G1035" s="37" t="str">
        <x:v>Domain Investment &amp; Marketplace Research: Payments, subscriptions, checkout, entitlements, and billing-aware workflows.</x:v>
      </x:c>
      <x:c r="H1035" s="38" t="str">
        <x:v>Marketplace, reserve system, domain services.</x:v>
      </x:c>
    </x:row>
    <x:row r="1036" ht="48" customHeight="1">
      <x:c r="A1036" s="60" t="str">
        <x:v>DOS-057</x:v>
      </x:c>
      <x:c r="B1036" s="37" t="str">
        <x:v>Domain Investment &amp; Marketplace Research</x:v>
      </x:c>
      <x:c r="C1036" s="37" t="str">
        <x:v>FAM-22</x:v>
      </x:c>
      <x:c r="D1036" s="37" t="str">
        <x:v>APIs &amp; third-party integrations</x:v>
      </x:c>
      <x:c r="E1036" s="37" t="str">
        <x:v>Expansion</x:v>
      </x:c>
      <x:c r="F1036" s="37" t="str">
        <x:v>Flexible / later only</x:v>
      </x:c>
      <x:c r="G1036" s="37" t="str">
        <x:v>Domain Investment &amp; Marketplace Research: External services, social/export targets, payment providers, and service connectors.</x:v>
      </x:c>
      <x:c r="H1036" s="38" t="str">
        <x:v>Marketplace, reserve system, domain services.</x:v>
      </x:c>
    </x:row>
    <x:row r="1037" ht="48" customHeight="1">
      <x:c r="A1037" s="60" t="str">
        <x:v>DOS-058</x:v>
      </x:c>
      <x:c r="B1037" s="37" t="str">
        <x:v>ZAF Brand, Namespace &amp; Visual Standards</x:v>
      </x:c>
      <x:c r="C1037" s="37" t="str">
        <x:v>FAM-01</x:v>
      </x:c>
      <x:c r="D1037" s="37" t="str">
        <x:v>Responsive web / PWA interface</x:v>
      </x:c>
      <x:c r="E1037" s="37" t="str">
        <x:v>Must</x:v>
      </x:c>
      <x:c r="F1037" s="37" t="str">
        <x:v>Strict-route gate</x:v>
      </x:c>
      <x:c r="G1037" s="37" t="str">
        <x:v>ZAF Brand, Namespace &amp; Visual Standards: Mobile-first responsive screens and app-like web navigation.</x:v>
      </x:c>
      <x:c r="H1037" s="38" t="str">
        <x:v>Brand kit, visual/color standards, public/internally scoped brand asset hub, examples, domain rules.</x:v>
      </x:c>
    </x:row>
    <x:row r="1038" ht="48" customHeight="1">
      <x:c r="A1038" s="60" t="str">
        <x:v>DOS-058</x:v>
      </x:c>
      <x:c r="B1038" s="37" t="str">
        <x:v>ZAF Brand, Namespace &amp; Visual Standards</x:v>
      </x:c>
      <x:c r="C1038" s="37" t="str">
        <x:v>FAM-23</x:v>
      </x:c>
      <x:c r="D1038" s="37" t="str">
        <x:v>Public website, SEO &amp; domain control</x:v>
      </x:c>
      <x:c r="E1038" s="37" t="str">
        <x:v>Must</x:v>
      </x:c>
      <x:c r="F1038" s="37" t="str">
        <x:v>Strict-route gate</x:v>
      </x:c>
      <x:c r="G1038" s="37" t="str">
        <x:v>ZAF Brand, Namespace &amp; Visual Standards: Public pages, discoverability, custom domain, shareability, and search metadata.</x:v>
      </x:c>
      <x:c r="H1038" s="38" t="str">
        <x:v>Brand kit, visual/color standards, public/internally scoped brand asset hub, examples, domain rules.</x:v>
      </x:c>
    </x:row>
    <x:row r="1039" ht="48" customHeight="1">
      <x:c r="A1039" s="60" t="str">
        <x:v>DOS-058</x:v>
      </x:c>
      <x:c r="B1039" s="37" t="str">
        <x:v>ZAF Brand, Namespace &amp; Visual Standards</x:v>
      </x:c>
      <x:c r="C1039" s="37" t="str">
        <x:v>FAM-26</x:v>
      </x:c>
      <x:c r="D1039" s="37" t="str">
        <x:v>Admin, CMS &amp; operational management</x:v>
      </x:c>
      <x:c r="E1039" s="37" t="str">
        <x:v>Must</x:v>
      </x:c>
      <x:c r="F1039" s="37" t="str">
        <x:v>Strict-route gate</x:v>
      </x:c>
      <x:c r="G1039" s="37" t="str">
        <x:v>ZAF Brand, Namespace &amp; Visual Standards: Admin views, content management, operational review, and human overrides.</x:v>
      </x:c>
      <x:c r="H1039" s="38" t="str">
        <x:v>Brand kit, visual/color standards, public/internally scoped brand asset hub, examples, domain rules.</x:v>
      </x:c>
    </x:row>
    <x:row r="1040" ht="48" customHeight="1">
      <x:c r="A1040" s="60" t="str">
        <x:v>DOS-058</x:v>
      </x:c>
      <x:c r="B1040" s="37" t="str">
        <x:v>ZAF Brand, Namespace &amp; Visual Standards</x:v>
      </x:c>
      <x:c r="C1040" s="37" t="str">
        <x:v>FAM-27</x:v>
      </x:c>
      <x:c r="D1040" s="37" t="str">
        <x:v>Portability, ownership &amp; escape path</x:v>
      </x:c>
      <x:c r="E1040" s="37" t="str">
        <x:v>Must</x:v>
      </x:c>
      <x:c r="F1040" s="37" t="str">
        <x:v>Strict-route gate</x:v>
      </x:c>
      <x:c r="G1040" s="37" t="str">
        <x:v>ZAF Brand, Namespace &amp; Visual Standards: Code/data export, GitHub, custom domains, migration, and lock-in control.</x:v>
      </x:c>
      <x:c r="H1040" s="38" t="str">
        <x:v>Brand kit, visual/color standards, public/internally scoped brand asset hub, examples, domain rules.</x:v>
      </x:c>
    </x:row>
    <x:row r="1041" ht="48" customHeight="1">
      <x:c r="A1041" s="60" t="str">
        <x:v>DOS-058</x:v>
      </x:c>
      <x:c r="B1041" s="37" t="str">
        <x:v>ZAF Brand, Namespace &amp; Visual Standards</x:v>
      </x:c>
      <x:c r="C1041" s="37" t="str">
        <x:v>FAM-40</x:v>
      </x:c>
      <x:c r="D1041" s="37" t="str">
        <x:v>Research, validation &amp; launch experiment</x:v>
      </x:c>
      <x:c r="E1041" s="37" t="str">
        <x:v>Must</x:v>
      </x:c>
      <x:c r="F1041" s="37" t="str">
        <x:v>Strict-route gate</x:v>
      </x:c>
      <x:c r="G1041" s="37" t="str">
        <x:v>ZAF Brand, Namespace &amp; Visual Standards: Landing tests, surveys, waitlists, hypotheses, experiments, and evidence capture.</x:v>
      </x:c>
      <x:c r="H1041" s="38" t="str">
        <x:v>Brand kit, visual/color standards, public/internally scoped brand asset hub, examples, domain rules.</x:v>
      </x:c>
    </x:row>
    <x:row r="1042" ht="48" customHeight="1">
      <x:c r="A1042" s="60" t="str">
        <x:v>DOS-058</x:v>
      </x:c>
      <x:c r="B1042" s="37" t="str">
        <x:v>ZAF Brand, Namespace &amp; Visual Standards</x:v>
      </x:c>
      <x:c r="C1042" s="37" t="str">
        <x:v>FAM-02</x:v>
      </x:c>
      <x:c r="D1042" s="37" t="str">
        <x:v>Android/mobile builder workability</x:v>
      </x:c>
      <x:c r="E1042" s="37" t="str">
        <x:v>Important</x:v>
      </x:c>
      <x:c r="F1042" s="37" t="str">
        <x:v>Score after gates</x:v>
      </x:c>
      <x:c r="G1042" s="37" t="str">
        <x:v>ZAF Brand, Namespace &amp; Visual Standards: Derek can build, edit, preview, test, and deploy with reasonable Android/mobile friction.</x:v>
      </x:c>
      <x:c r="H1042" s="38" t="str">
        <x:v>Start static standards and reusable assets; defer interactive culture world.</x:v>
      </x:c>
    </x:row>
    <x:row r="1043" ht="48" customHeight="1">
      <x:c r="A1043" s="60" t="str">
        <x:v>DOS-058</x:v>
      </x:c>
      <x:c r="B1043" s="37" t="str">
        <x:v>ZAF Brand, Namespace &amp; Visual Standards</x:v>
      </x:c>
      <x:c r="C1043" s="37" t="str">
        <x:v>FAM-06</x:v>
      </x:c>
      <x:c r="D1043" s="37" t="str">
        <x:v>Search, filters, lists &amp; directories</x:v>
      </x:c>
      <x:c r="E1043" s="37" t="str">
        <x:v>Important</x:v>
      </x:c>
      <x:c r="F1043" s="37" t="str">
        <x:v>Score after gates</x:v>
      </x:c>
      <x:c r="G1043" s="37" t="str">
        <x:v>ZAF Brand, Namespace &amp; Visual Standards: Searchable libraries, member lists, catalog browsing, and filtered views.</x:v>
      </x:c>
      <x:c r="H1043" s="38" t="str">
        <x:v>Start static standards and reusable assets; defer interactive culture world.</x:v>
      </x:c>
    </x:row>
    <x:row r="1044" ht="48" customHeight="1">
      <x:c r="A1044" s="60" t="str">
        <x:v>DOS-058</x:v>
      </x:c>
      <x:c r="B1044" s="37" t="str">
        <x:v>ZAF Brand, Namespace &amp; Visual Standards</x:v>
      </x:c>
      <x:c r="C1044" s="37" t="str">
        <x:v>FAM-17</x:v>
      </x:c>
      <x:c r="D1044" s="37" t="str">
        <x:v>Payments, subscriptions &amp; billing</x:v>
      </x:c>
      <x:c r="E1044" s="37" t="str">
        <x:v>Important</x:v>
      </x:c>
      <x:c r="F1044" s="37" t="str">
        <x:v>Score after gates</x:v>
      </x:c>
      <x:c r="G1044" s="37" t="str">
        <x:v>ZAF Brand, Namespace &amp; Visual Standards: Payments, subscriptions, checkout, entitlements, and billing-aware workflows.</x:v>
      </x:c>
      <x:c r="H1044" s="38" t="str">
        <x:v>Start static standards and reusable assets; defer interactive culture world.</x:v>
      </x:c>
    </x:row>
    <x:row r="1045" ht="48" customHeight="1">
      <x:c r="A1045" s="60" t="str">
        <x:v>DOS-058</x:v>
      </x:c>
      <x:c r="B1045" s="37" t="str">
        <x:v>ZAF Brand, Namespace &amp; Visual Standards</x:v>
      </x:c>
      <x:c r="C1045" s="37" t="str">
        <x:v>FAM-24</x:v>
      </x:c>
      <x:c r="D1045" s="37" t="str">
        <x:v>Export, publishing &amp; share routes</x:v>
      </x:c>
      <x:c r="E1045" s="37" t="str">
        <x:v>Important</x:v>
      </x:c>
      <x:c r="F1045" s="37" t="str">
        <x:v>Score after gates</x:v>
      </x:c>
      <x:c r="G1045" s="37" t="str">
        <x:v>ZAF Brand, Namespace &amp; Visual Standards: Download/export, social publishing, share links, and portable output packages.</x:v>
      </x:c>
      <x:c r="H1045" s="38" t="str">
        <x:v>Start static standards and reusable assets; defer interactive culture world.</x:v>
      </x:c>
    </x:row>
    <x:row r="1046" ht="48" customHeight="1">
      <x:c r="A1046" s="60" t="str">
        <x:v>DOS-058</x:v>
      </x:c>
      <x:c r="B1046" s="37" t="str">
        <x:v>ZAF Brand, Namespace &amp; Visual Standards</x:v>
      </x:c>
      <x:c r="C1046" s="37" t="str">
        <x:v>FAM-25</x:v>
      </x:c>
      <x:c r="D1046" s="37" t="str">
        <x:v>Analytics, reporting &amp; decision dashboards</x:v>
      </x:c>
      <x:c r="E1046" s="37" t="str">
        <x:v>Important</x:v>
      </x:c>
      <x:c r="F1046" s="37" t="str">
        <x:v>Score after gates</x:v>
      </x:c>
      <x:c r="G1046" s="37" t="str">
        <x:v>ZAF Brand, Namespace &amp; Visual Standards: Usage metrics, charts, rankings, reporting, and decision support.</x:v>
      </x:c>
      <x:c r="H1046" s="38" t="str">
        <x:v>Start static standards and reusable assets; defer interactive culture world.</x:v>
      </x:c>
    </x:row>
    <x:row r="1047" ht="48" customHeight="1">
      <x:c r="A1047" s="60" t="str">
        <x:v>DOS-058</x:v>
      </x:c>
      <x:c r="B1047" s="37" t="str">
        <x:v>ZAF Brand, Namespace &amp; Visual Standards</x:v>
      </x:c>
      <x:c r="C1047" s="37" t="str">
        <x:v>FAM-34</x:v>
      </x:c>
      <x:c r="D1047" s="37" t="str">
        <x:v>Lead capture, booking &amp; service commerce</x:v>
      </x:c>
      <x:c r="E1047" s="37" t="str">
        <x:v>Important</x:v>
      </x:c>
      <x:c r="F1047" s="37" t="str">
        <x:v>Score after gates</x:v>
      </x:c>
      <x:c r="G1047" s="37" t="str">
        <x:v>ZAF Brand, Namespace &amp; Visual Standards: Inquiry forms, booking, sales funnels, quotes, and service-client handoff.</x:v>
      </x:c>
      <x:c r="H1047" s="38" t="str">
        <x:v>Start static standards and reusable assets; defer interactive culture world.</x:v>
      </x:c>
    </x:row>
    <x:row r="1048" ht="48" customHeight="1">
      <x:c r="A1048" s="60" t="str">
        <x:v>DOS-058</x:v>
      </x:c>
      <x:c r="B1048" s="37" t="str">
        <x:v>ZAF Brand, Namespace &amp; Visual Standards</x:v>
      </x:c>
      <x:c r="C1048" s="37" t="str">
        <x:v>FAM-03</x:v>
      </x:c>
      <x:c r="D1048" s="37" t="str">
        <x:v>Authentication, identity &amp; roles</x:v>
      </x:c>
      <x:c r="E1048" s="37" t="str">
        <x:v>Expansion</x:v>
      </x:c>
      <x:c r="F1048" s="37" t="str">
        <x:v>Flexible / later only</x:v>
      </x:c>
      <x:c r="G1048" s="37" t="str">
        <x:v>ZAF Brand, Namespace &amp; Visual Standards: Sign-in, role-aware access, member identity, and permissions.</x:v>
      </x:c>
      <x:c r="H1048" s="38" t="str">
        <x:v>Zaffie mythology, Unicode universe, creator identity system.</x:v>
      </x:c>
    </x:row>
    <x:row r="1049" ht="48" customHeight="1">
      <x:c r="A1049" s="60" t="str">
        <x:v>DOS-058</x:v>
      </x:c>
      <x:c r="B1049" s="37" t="str">
        <x:v>ZAF Brand, Namespace &amp; Visual Standards</x:v>
      </x:c>
      <x:c r="C1049" s="37" t="str">
        <x:v>FAM-04</x:v>
      </x:c>
      <x:c r="D1049" s="37" t="str">
        <x:v>Profiles, portfolios &amp; relationship records</x:v>
      </x:c>
      <x:c r="E1049" s="37" t="str">
        <x:v>Expansion</x:v>
      </x:c>
      <x:c r="F1049" s="37" t="str">
        <x:v>Flexible / later only</x:v>
      </x:c>
      <x:c r="G1049" s="37" t="str">
        <x:v>ZAF Brand, Namespace &amp; Visual Standards: Persistent user/member/creator profiles and linked relationships.</x:v>
      </x:c>
      <x:c r="H1049" s="38" t="str">
        <x:v>Zaffie mythology, Unicode universe, creator identity system.</x:v>
      </x:c>
    </x:row>
    <x:row r="1050" ht="48" customHeight="1">
      <x:c r="A1050" s="60" t="str">
        <x:v>DOS-058</x:v>
      </x:c>
      <x:c r="B1050" s="37" t="str">
        <x:v>ZAF Brand, Namespace &amp; Visual Standards</x:v>
      </x:c>
      <x:c r="C1050" s="37" t="str">
        <x:v>FAM-12</x:v>
      </x:c>
      <x:c r="D1050" s="37" t="str">
        <x:v>AI text generation, analysis &amp; agents</x:v>
      </x:c>
      <x:c r="E1050" s="37" t="str">
        <x:v>Expansion</x:v>
      </x:c>
      <x:c r="F1050" s="37" t="str">
        <x:v>Flexible / later only</x:v>
      </x:c>
      <x:c r="G1050" s="37" t="str">
        <x:v>ZAF Brand, Namespace &amp; Visual Standards: Prompted generation, classification, summarization, reasoning, or assistant behavior.</x:v>
      </x:c>
      <x:c r="H1050" s="38" t="str">
        <x:v>Zaffie mythology, Unicode universe, creator identity system.</x:v>
      </x:c>
    </x:row>
    <x:row r="1051" ht="48" customHeight="1">
      <x:c r="A1051" s="61" t="str">
        <x:v>DOS-058</x:v>
      </x:c>
      <x:c r="B1051" s="40" t="str">
        <x:v>ZAF Brand, Namespace &amp; Visual Standards</x:v>
      </x:c>
      <x:c r="C1051" s="40" t="str">
        <x:v>FAM-18</x:v>
      </x:c>
      <x:c r="D1051" s="40" t="str">
        <x:v>Commerce, catalog &amp; fulfillment</x:v>
      </x:c>
      <x:c r="E1051" s="40" t="str">
        <x:v>Expansion</x:v>
      </x:c>
      <x:c r="F1051" s="40" t="str">
        <x:v>Flexible / later only</x:v>
      </x:c>
      <x:c r="G1051" s="40" t="str">
        <x:v>ZAF Brand, Namespace &amp; Visual Standards: Product catalogs, ecommerce, orders, print-on-demand, and fulfillment integrations.</x:v>
      </x:c>
      <x:c r="H1051" s="41" t="str">
        <x:v>Zaffie mythology, Unicode universe, creator identity system.</x:v>
      </x:c>
    </x:row>
  </x:sheetData>
  <x:mergeCells>
    <x:mergeCell ref="A1:H1"/>
    <x:mergeCell ref="A2:H2"/>
  </x:mergeCells>
  <x:conditionalFormatting sqref="E7:E1051">
    <x:cfRule type="containsText" dxfId="0" priority="1" operator="containsText" text="Must"/>
    <x:cfRule type="containsText" dxfId="1" priority="2" operator="containsText" text="Important"/>
    <x:cfRule type="containsText" dxfId="2" priority="3" operator="containsText" text="Expansion"/>
  </x:conditionalFormatting>
  <x:dataValidations count="1">
    <x:dataValidation type="list" sqref="E7:E1051">
      <x:formula1>"Must,Important,Expansion"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1f69b3437b04f6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4" hidden="0" customWidth="1"/>
    <x:col min="3" max="3" width="72" hidden="0" customWidth="1"/>
    <x:col min="4" max="4" width="24" hidden="0" customWidth="1"/>
    <x:col min="5" max="5" width="38" hidden="0" customWidth="1"/>
  </x:cols>
  <x:sheetData>
    <x:row r="1" ht="30" customHeight="1">
      <x:c r="A1" s="4" t="str">
        <x:v>CAPABILITY CATALOG — CENSUS / DOSSIER SHARED LANGUAGE</x:v>
      </x:c>
    </x:row>
    <x:row r="2" ht="28" customHeight="1">
      <x:c r="A2" s="8" t="str">
        <x:v>These FAM IDs are the authoritative demand vocabulary to populate Census V6.1’s currently blank Capability Ontology.</x:v>
      </x:c>
    </x:row>
    <x:row r="6">
      <x:c r="A6" s="14" t="str">
        <x:v>Family ID</x:v>
      </x:c>
      <x:c r="B6" s="14" t="str">
        <x:v>Canonical Capability Family</x:v>
      </x:c>
      <x:c r="C6" s="14" t="str">
        <x:v>Demand-Side Definition</x:v>
      </x:c>
      <x:c r="D6" s="14" t="str">
        <x:v>Census Evaluation Area</x:v>
      </x:c>
      <x:c r="E6" s="14" t="str">
        <x:v>Catalog Status</x:v>
      </x:c>
    </x:row>
    <x:row r="7" ht="38" customHeight="1">
      <x:c r="A7" s="59" t="str">
        <x:v>FAM-01</x:v>
      </x:c>
      <x:c r="B7" s="34" t="str">
        <x:v>Responsive web / PWA interface</x:v>
      </x:c>
      <x:c r="C7" s="34" t="str">
        <x:v>Mobile-first responsive screens and app-like web navigation.</x:v>
      </x:c>
      <x:c r="D7" s="34" t="str">
        <x:v>Core web delivery</x:v>
      </x:c>
      <x:c r="E7" s="35" t="str">
        <x:v>Proposed V7 canonical — ready for Census approval</x:v>
      </x:c>
    </x:row>
    <x:row r="8" ht="38" customHeight="1">
      <x:c r="A8" s="60" t="str">
        <x:v>FAM-02</x:v>
      </x:c>
      <x:c r="B8" s="37" t="str">
        <x:v>Android/mobile builder workability</x:v>
      </x:c>
      <x:c r="C8" s="37" t="str">
        <x:v>Derek can build, edit, preview, test, and deploy with reasonable Android/mobile friction.</x:v>
      </x:c>
      <x:c r="D8" s="37" t="str">
        <x:v>Builder workflow</x:v>
      </x:c>
      <x:c r="E8" s="38" t="str">
        <x:v>Proposed V7 canonical — ready for Census approval</x:v>
      </x:c>
    </x:row>
    <x:row r="9" ht="38" customHeight="1">
      <x:c r="A9" s="60" t="str">
        <x:v>FAM-03</x:v>
      </x:c>
      <x:c r="B9" s="37" t="str">
        <x:v>Authentication, identity &amp; roles</x:v>
      </x:c>
      <x:c r="C9" s="37" t="str">
        <x:v>Sign-in, role-aware access, member identity, and permissions.</x:v>
      </x:c>
      <x:c r="D9" s="37" t="str">
        <x:v>Backend</x:v>
      </x:c>
      <x:c r="E9" s="38" t="str">
        <x:v>Proposed V7 canonical — ready for Census approval</x:v>
      </x:c>
    </x:row>
    <x:row r="10" ht="38" customHeight="1">
      <x:c r="A10" s="60" t="str">
        <x:v>FAM-04</x:v>
      </x:c>
      <x:c r="B10" s="37" t="str">
        <x:v>Profiles, portfolios &amp; relationship records</x:v>
      </x:c>
      <x:c r="C10" s="37" t="str">
        <x:v>Persistent user/member/creator profiles and linked relationships.</x:v>
      </x:c>
      <x:c r="D10" s="37" t="str">
        <x:v>Data model</x:v>
      </x:c>
      <x:c r="E10" s="38" t="str">
        <x:v>Proposed V7 canonical — ready for Census approval</x:v>
      </x:c>
    </x:row>
    <x:row r="11" ht="38" customHeight="1">
      <x:c r="A11" s="60" t="str">
        <x:v>FAM-05</x:v>
      </x:c>
      <x:c r="B11" s="37" t="str">
        <x:v>Structured database &amp; persistent records</x:v>
      </x:c>
      <x:c r="C11" s="37" t="str">
        <x:v>Reliable structured data storage, retrieval, and updates.</x:v>
      </x:c>
      <x:c r="D11" s="37" t="str">
        <x:v>Backend</x:v>
      </x:c>
      <x:c r="E11" s="38" t="str">
        <x:v>Proposed V7 canonical — ready for Census approval</x:v>
      </x:c>
    </x:row>
    <x:row r="12" ht="38" customHeight="1">
      <x:c r="A12" s="60" t="str">
        <x:v>FAM-06</x:v>
      </x:c>
      <x:c r="B12" s="37" t="str">
        <x:v>Search, filters, lists &amp; directories</x:v>
      </x:c>
      <x:c r="C12" s="37" t="str">
        <x:v>Searchable libraries, member lists, catalog browsing, and filtered views.</x:v>
      </x:c>
      <x:c r="D12" s="37" t="str">
        <x:v>Data experience</x:v>
      </x:c>
      <x:c r="E12" s="38" t="str">
        <x:v>Proposed V7 canonical — ready for Census approval</x:v>
      </x:c>
    </x:row>
    <x:row r="13" ht="38" customHeight="1">
      <x:c r="A13" s="60" t="str">
        <x:v>FAM-07</x:v>
      </x:c>
      <x:c r="B13" s="37" t="str">
        <x:v>File intake, storage &amp; lifecycle</x:v>
      </x:c>
      <x:c r="C13" s="37" t="str">
        <x:v>Upload/import, validation, storage, retention, and file-size handling.</x:v>
      </x:c>
      <x:c r="D13" s="37" t="str">
        <x:v>Media/data</x:v>
      </x:c>
      <x:c r="E13" s="38" t="str">
        <x:v>Proposed V7 canonical — ready for Census approval</x:v>
      </x:c>
    </x:row>
    <x:row r="14" ht="38" customHeight="1">
      <x:c r="A14" s="60" t="str">
        <x:v>FAM-08</x:v>
      </x:c>
      <x:c r="B14" s="37" t="str">
        <x:v>Image generation &amp; visual workflow</x:v>
      </x:c>
      <x:c r="C14" s="37" t="str">
        <x:v>Image creation or intake, visual consistency, thumbnails, variants, and review.</x:v>
      </x:c>
      <x:c r="D14" s="37" t="str">
        <x:v>AI/media</x:v>
      </x:c>
      <x:c r="E14" s="38" t="str">
        <x:v>Proposed V7 canonical — ready for Census approval</x:v>
      </x:c>
    </x:row>
    <x:row r="15" ht="38" customHeight="1">
      <x:c r="A15" s="60" t="str">
        <x:v>FAM-09</x:v>
      </x:c>
      <x:c r="B15" s="37" t="str">
        <x:v>Audio workflow &amp; processing</x:v>
      </x:c>
      <x:c r="C15" s="37" t="str">
        <x:v>Audio playback, upload, timing, analysis, DSP, remastering, and export.</x:v>
      </x:c>
      <x:c r="D15" s="37" t="str">
        <x:v>Media</x:v>
      </x:c>
      <x:c r="E15" s="38" t="str">
        <x:v>Proposed V7 canonical — ready for Census approval</x:v>
      </x:c>
    </x:row>
    <x:row r="16" ht="38" customHeight="1">
      <x:c r="A16" s="60" t="str">
        <x:v>FAM-10</x:v>
      </x:c>
      <x:c r="B16" s="37" t="str">
        <x:v>Video, reels &amp; slideshow workflow</x:v>
      </x:c>
      <x:c r="C16" s="37" t="str">
        <x:v>Video playback/upload, timed slideshows, reels, rendering, and video export.</x:v>
      </x:c>
      <x:c r="D16" s="37" t="str">
        <x:v>Media</x:v>
      </x:c>
      <x:c r="E16" s="38" t="str">
        <x:v>Proposed V7 canonical — ready for Census approval</x:v>
      </x:c>
    </x:row>
    <x:row r="17" ht="38" customHeight="1">
      <x:c r="A17" s="60" t="str">
        <x:v>FAM-11</x:v>
      </x:c>
      <x:c r="B17" s="37" t="str">
        <x:v>Multimodal AI analysis</x:v>
      </x:c>
      <x:c r="C17" s="37" t="str">
        <x:v>AI can analyze image/audio/video inputs with usable confidence and controls.</x:v>
      </x:c>
      <x:c r="D17" s="37" t="str">
        <x:v>AI/media</x:v>
      </x:c>
      <x:c r="E17" s="38" t="str">
        <x:v>Proposed V7 canonical — ready for Census approval</x:v>
      </x:c>
    </x:row>
    <x:row r="18" ht="38" customHeight="1">
      <x:c r="A18" s="60" t="str">
        <x:v>FAM-12</x:v>
      </x:c>
      <x:c r="B18" s="37" t="str">
        <x:v>AI text generation, analysis &amp; agents</x:v>
      </x:c>
      <x:c r="C18" s="37" t="str">
        <x:v>Prompted generation, classification, summarization, reasoning, or assistant behavior.</x:v>
      </x:c>
      <x:c r="D18" s="37" t="str">
        <x:v>AI</x:v>
      </x:c>
      <x:c r="E18" s="38" t="str">
        <x:v>Proposed V7 canonical — ready for Census approval</x:v>
      </x:c>
    </x:row>
    <x:row r="19" ht="38" customHeight="1">
      <x:c r="A19" s="60" t="str">
        <x:v>FAM-13</x:v>
      </x:c>
      <x:c r="B19" s="37" t="str">
        <x:v>OCR &amp; structured extraction</x:v>
      </x:c>
      <x:c r="C19" s="37" t="str">
        <x:v>Extract fields from screenshots, documents, receipts, or messy content.</x:v>
      </x:c>
      <x:c r="D19" s="37" t="str">
        <x:v>AI/data</x:v>
      </x:c>
      <x:c r="E19" s="38" t="str">
        <x:v>Proposed V7 canonical — ready for Census approval</x:v>
      </x:c>
    </x:row>
    <x:row r="20" ht="38" customHeight="1">
      <x:c r="A20" s="60" t="str">
        <x:v>FAM-14</x:v>
      </x:c>
      <x:c r="B20" s="37" t="str">
        <x:v>Personalization, memory &amp; preferences</x:v>
      </x:c>
      <x:c r="C20" s="37" t="str">
        <x:v>Saved preferences, history, source memory, and adaptive outputs.</x:v>
      </x:c>
      <x:c r="D20" s="37" t="str">
        <x:v>Data/AI</x:v>
      </x:c>
      <x:c r="E20" s="38" t="str">
        <x:v>Proposed V7 canonical — ready for Census approval</x:v>
      </x:c>
    </x:row>
    <x:row r="21" ht="38" customHeight="1">
      <x:c r="A21" s="60" t="str">
        <x:v>FAM-15</x:v>
      </x:c>
      <x:c r="B21" s="37" t="str">
        <x:v>Social, realtime &amp; collaboration</x:v>
      </x:c>
      <x:c r="C21" s="37" t="str">
        <x:v>Feeds, messaging, groups, sharing, realtime updates, or multi-user creation.</x:v>
      </x:c>
      <x:c r="D21" s="37" t="str">
        <x:v>Social</x:v>
      </x:c>
      <x:c r="E21" s="38" t="str">
        <x:v>Proposed V7 canonical — ready for Census approval</x:v>
      </x:c>
    </x:row>
    <x:row r="22" ht="38" customHeight="1">
      <x:c r="A22" s="60" t="str">
        <x:v>FAM-16</x:v>
      </x:c>
      <x:c r="B22" s="37" t="str">
        <x:v>Content moderation &amp; reporting</x:v>
      </x:c>
      <x:c r="C22" s="37" t="str">
        <x:v>Reports, queues, permissions, review actions, and community safety controls.</x:v>
      </x:c>
      <x:c r="D22" s="37" t="str">
        <x:v>Trust &amp; safety</x:v>
      </x:c>
      <x:c r="E22" s="38" t="str">
        <x:v>Proposed V7 canonical — ready for Census approval</x:v>
      </x:c>
    </x:row>
    <x:row r="23" ht="38" customHeight="1">
      <x:c r="A23" s="60" t="str">
        <x:v>FAM-17</x:v>
      </x:c>
      <x:c r="B23" s="37" t="str">
        <x:v>Payments, subscriptions &amp; billing</x:v>
      </x:c>
      <x:c r="C23" s="37" t="str">
        <x:v>Payments, subscriptions, checkout, entitlements, and billing-aware workflows.</x:v>
      </x:c>
      <x:c r="D23" s="37" t="str">
        <x:v>Commerce</x:v>
      </x:c>
      <x:c r="E23" s="38" t="str">
        <x:v>Proposed V7 canonical — ready for Census approval</x:v>
      </x:c>
    </x:row>
    <x:row r="24" ht="38" customHeight="1">
      <x:c r="A24" s="60" t="str">
        <x:v>FAM-18</x:v>
      </x:c>
      <x:c r="B24" s="37" t="str">
        <x:v>Commerce, catalog &amp; fulfillment</x:v>
      </x:c>
      <x:c r="C24" s="37" t="str">
        <x:v>Product catalogs, ecommerce, orders, print-on-demand, and fulfillment integrations.</x:v>
      </x:c>
      <x:c r="D24" s="37" t="str">
        <x:v>Commerce</x:v>
      </x:c>
      <x:c r="E24" s="38" t="str">
        <x:v>Proposed V7 canonical — ready for Census approval</x:v>
      </x:c>
    </x:row>
    <x:row r="25" ht="38" customHeight="1">
      <x:c r="A25" s="60" t="str">
        <x:v>FAM-19</x:v>
      </x:c>
      <x:c r="B25" s="37" t="str">
        <x:v>Rewards, badges &amp; entitlements</x:v>
      </x:c>
      <x:c r="C25" s="37" t="str">
        <x:v>Loyalty, roles, rewards, badges, credits, and access logic.</x:v>
      </x:c>
      <x:c r="D25" s="37" t="str">
        <x:v>Engagement</x:v>
      </x:c>
      <x:c r="E25" s="38" t="str">
        <x:v>Proposed V7 canonical — ready for Census approval</x:v>
      </x:c>
    </x:row>
    <x:row r="26" ht="38" customHeight="1">
      <x:c r="A26" s="60" t="str">
        <x:v>FAM-20</x:v>
      </x:c>
      <x:c r="B26" s="37" t="str">
        <x:v>Notifications, reminders &amp; deadlines</x:v>
      </x:c>
      <x:c r="C26" s="37" t="str">
        <x:v>Push/email/in-app reminders, scheduled tasks, and time-bound flows.</x:v>
      </x:c>
      <x:c r="D26" s="37" t="str">
        <x:v>Workflow</x:v>
      </x:c>
      <x:c r="E26" s="38" t="str">
        <x:v>Proposed V7 canonical — ready for Census approval</x:v>
      </x:c>
    </x:row>
    <x:row r="27" ht="38" customHeight="1">
      <x:c r="A27" s="60" t="str">
        <x:v>FAM-21</x:v>
      </x:c>
      <x:c r="B27" s="37" t="str">
        <x:v>Automations, webhooks &amp; scheduled jobs</x:v>
      </x:c>
      <x:c r="C27" s="37" t="str">
        <x:v>Event-driven workflows, scheduled tasks, background processes, and webhooks.</x:v>
      </x:c>
      <x:c r="D27" s="37" t="str">
        <x:v>Workflow</x:v>
      </x:c>
      <x:c r="E27" s="38" t="str">
        <x:v>Proposed V7 canonical — ready for Census approval</x:v>
      </x:c>
    </x:row>
    <x:row r="28" ht="38" customHeight="1">
      <x:c r="A28" s="60" t="str">
        <x:v>FAM-22</x:v>
      </x:c>
      <x:c r="B28" s="37" t="str">
        <x:v>APIs &amp; third-party integrations</x:v>
      </x:c>
      <x:c r="C28" s="37" t="str">
        <x:v>External services, social/export targets, payment providers, and service connectors.</x:v>
      </x:c>
      <x:c r="D28" s="37" t="str">
        <x:v>Integration</x:v>
      </x:c>
      <x:c r="E28" s="38" t="str">
        <x:v>Proposed V7 canonical — ready for Census approval</x:v>
      </x:c>
    </x:row>
    <x:row r="29" ht="38" customHeight="1">
      <x:c r="A29" s="60" t="str">
        <x:v>FAM-23</x:v>
      </x:c>
      <x:c r="B29" s="37" t="str">
        <x:v>Public website, SEO &amp; domain control</x:v>
      </x:c>
      <x:c r="C29" s="37" t="str">
        <x:v>Public pages, discoverability, custom domain, shareability, and search metadata.</x:v>
      </x:c>
      <x:c r="D29" s="37" t="str">
        <x:v>Public web</x:v>
      </x:c>
      <x:c r="E29" s="38" t="str">
        <x:v>Proposed V7 canonical — ready for Census approval</x:v>
      </x:c>
    </x:row>
    <x:row r="30" ht="38" customHeight="1">
      <x:c r="A30" s="60" t="str">
        <x:v>FAM-24</x:v>
      </x:c>
      <x:c r="B30" s="37" t="str">
        <x:v>Export, publishing &amp; share routes</x:v>
      </x:c>
      <x:c r="C30" s="37" t="str">
        <x:v>Download/export, social publishing, share links, and portable output packages.</x:v>
      </x:c>
      <x:c r="D30" s="37" t="str">
        <x:v>Distribution</x:v>
      </x:c>
      <x:c r="E30" s="38" t="str">
        <x:v>Proposed V7 canonical — ready for Census approval</x:v>
      </x:c>
    </x:row>
    <x:row r="31" ht="38" customHeight="1">
      <x:c r="A31" s="60" t="str">
        <x:v>FAM-25</x:v>
      </x:c>
      <x:c r="B31" s="37" t="str">
        <x:v>Analytics, reporting &amp; decision dashboards</x:v>
      </x:c>
      <x:c r="C31" s="37" t="str">
        <x:v>Usage metrics, charts, rankings, reporting, and decision support.</x:v>
      </x:c>
      <x:c r="D31" s="37" t="str">
        <x:v>Analytics</x:v>
      </x:c>
      <x:c r="E31" s="38" t="str">
        <x:v>Proposed V7 canonical — ready for Census approval</x:v>
      </x:c>
    </x:row>
    <x:row r="32" ht="38" customHeight="1">
      <x:c r="A32" s="60" t="str">
        <x:v>FAM-26</x:v>
      </x:c>
      <x:c r="B32" s="37" t="str">
        <x:v>Admin, CMS &amp; operational management</x:v>
      </x:c>
      <x:c r="C32" s="37" t="str">
        <x:v>Admin views, content management, operational review, and human overrides.</x:v>
      </x:c>
      <x:c r="D32" s="37" t="str">
        <x:v>Operations</x:v>
      </x:c>
      <x:c r="E32" s="38" t="str">
        <x:v>Proposed V7 canonical — ready for Census approval</x:v>
      </x:c>
    </x:row>
    <x:row r="33" ht="38" customHeight="1">
      <x:c r="A33" s="60" t="str">
        <x:v>FAM-27</x:v>
      </x:c>
      <x:c r="B33" s="37" t="str">
        <x:v>Portability, ownership &amp; escape path</x:v>
      </x:c>
      <x:c r="C33" s="37" t="str">
        <x:v>Code/data export, GitHub, custom domains, migration, and lock-in control.</x:v>
      </x:c>
      <x:c r="D33" s="37" t="str">
        <x:v>Ownership</x:v>
      </x:c>
      <x:c r="E33" s="38" t="str">
        <x:v>Proposed V7 canonical — ready for Census approval</x:v>
      </x:c>
    </x:row>
    <x:row r="34" ht="38" customHeight="1">
      <x:c r="A34" s="60" t="str">
        <x:v>FAM-28</x:v>
      </x:c>
      <x:c r="B34" s="37" t="str">
        <x:v>Custom code &amp; extensibility</x:v>
      </x:c>
      <x:c r="C34" s="37" t="str">
        <x:v>Ability to add bespoke logic, components, SDKs, or developer assistance.</x:v>
      </x:c>
      <x:c r="D34" s="37" t="str">
        <x:v>Engineering</x:v>
      </x:c>
      <x:c r="E34" s="38" t="str">
        <x:v>Proposed V7 canonical — ready for Census approval</x:v>
      </x:c>
    </x:row>
    <x:row r="35" ht="38" customHeight="1">
      <x:c r="A35" s="60" t="str">
        <x:v>FAM-29</x:v>
      </x:c>
      <x:c r="B35" s="37" t="str">
        <x:v>Backend functions, APIs &amp; background compute</x:v>
      </x:c>
      <x:c r="C35" s="37" t="str">
        <x:v>Server functions, secure APIs, logs, queues, scheduled tasks, and secrets.</x:v>
      </x:c>
      <x:c r="D35" s="37" t="str">
        <x:v>Backend</x:v>
      </x:c>
      <x:c r="E35" s="38" t="str">
        <x:v>Proposed V7 canonical — ready for Census approval</x:v>
      </x:c>
    </x:row>
    <x:row r="36" ht="38" customHeight="1">
      <x:c r="A36" s="60" t="str">
        <x:v>FAM-30</x:v>
      </x:c>
      <x:c r="B36" s="37" t="str">
        <x:v>Installability, offline &amp; push</x:v>
      </x:c>
      <x:c r="C36" s="37" t="str">
        <x:v>Installable PWA behavior, service worker/offline needs, and device push.</x:v>
      </x:c>
      <x:c r="D36" s="37" t="str">
        <x:v>PWA</x:v>
      </x:c>
      <x:c r="E36" s="38" t="str">
        <x:v>Proposed V7 canonical — ready for Census approval</x:v>
      </x:c>
    </x:row>
    <x:row r="37" ht="38" customHeight="1">
      <x:c r="A37" s="60" t="str">
        <x:v>FAM-31</x:v>
      </x:c>
      <x:c r="B37" s="37" t="str">
        <x:v>Teams, co-creation &amp; permissions</x:v>
      </x:c>
      <x:c r="C37" s="37" t="str">
        <x:v>Multi-person workspaces, collaboration, ownership boundaries, and team roles.</x:v>
      </x:c>
      <x:c r="D37" s="37" t="str">
        <x:v>Collaboration</x:v>
      </x:c>
      <x:c r="E37" s="38" t="str">
        <x:v>Proposed V7 canonical — ready for Census approval</x:v>
      </x:c>
    </x:row>
    <x:row r="38" ht="38" customHeight="1">
      <x:c r="A38" s="60" t="str">
        <x:v>FAM-32</x:v>
      </x:c>
      <x:c r="B38" s="37" t="str">
        <x:v>Marketplace, templates &amp; creator assets</x:v>
      </x:c>
      <x:c r="C38" s="37" t="str">
        <x:v>Listings, reusable assets, creator publishing, reviews, and marketplace rules.</x:v>
      </x:c>
      <x:c r="D38" s="37" t="str">
        <x:v>Marketplace</x:v>
      </x:c>
      <x:c r="E38" s="38" t="str">
        <x:v>Proposed V7 canonical — ready for Census approval</x:v>
      </x:c>
    </x:row>
    <x:row r="39" ht="38" customHeight="1">
      <x:c r="A39" s="60" t="str">
        <x:v>FAM-33</x:v>
      </x:c>
      <x:c r="B39" s="37" t="str">
        <x:v>Location, scheduling &amp; service coordination</x:v>
      </x:c>
      <x:c r="C39" s="37" t="str">
        <x:v>Maps, appointments, resources, availability, or geographic service coordination.</x:v>
      </x:c>
      <x:c r="D39" s="37" t="str">
        <x:v>Service</x:v>
      </x:c>
      <x:c r="E39" s="38" t="str">
        <x:v>Proposed V7 canonical — ready for Census approval</x:v>
      </x:c>
    </x:row>
    <x:row r="40" ht="38" customHeight="1">
      <x:c r="A40" s="60" t="str">
        <x:v>FAM-34</x:v>
      </x:c>
      <x:c r="B40" s="37" t="str">
        <x:v>Lead capture, booking &amp; service commerce</x:v>
      </x:c>
      <x:c r="C40" s="37" t="str">
        <x:v>Inquiry forms, booking, sales funnels, quotes, and service-client handoff.</x:v>
      </x:c>
      <x:c r="D40" s="37" t="str">
        <x:v>Service</x:v>
      </x:c>
      <x:c r="E40" s="38" t="str">
        <x:v>Proposed V7 canonical — ready for Census approval</x:v>
      </x:c>
    </x:row>
    <x:row r="41" ht="38" customHeight="1">
      <x:c r="A41" s="60" t="str">
        <x:v>FAM-35</x:v>
      </x:c>
      <x:c r="B41" s="37" t="str">
        <x:v>Privacy, consent &amp; audit trail</x:v>
      </x:c>
      <x:c r="C41" s="37" t="str">
        <x:v>Consent, retention, access controls, provenance, and auditable actions.</x:v>
      </x:c>
      <x:c r="D41" s="37" t="str">
        <x:v>Trust &amp; safety</x:v>
      </x:c>
      <x:c r="E41" s="38" t="str">
        <x:v>Proposed V7 canonical — ready for Census approval</x:v>
      </x:c>
    </x:row>
    <x:row r="42" ht="38" customHeight="1">
      <x:c r="A42" s="60" t="str">
        <x:v>FAM-36</x:v>
      </x:c>
      <x:c r="B42" s="37" t="str">
        <x:v>Scoring, ranking &amp; matching logic</x:v>
      </x:c>
      <x:c r="C42" s="37" t="str">
        <x:v>Transparent scorecards, requirements matching, routes, and tie-break explanations.</x:v>
      </x:c>
      <x:c r="D42" s="37" t="str">
        <x:v>Decision engine</x:v>
      </x:c>
      <x:c r="E42" s="38" t="str">
        <x:v>Proposed V7 canonical — ready for Census approval</x:v>
      </x:c>
    </x:row>
    <x:row r="43" ht="38" customHeight="1">
      <x:c r="A43" s="60" t="str">
        <x:v>FAM-37</x:v>
      </x:c>
      <x:c r="B43" s="37" t="str">
        <x:v>Gamification, challenges &amp; progression</x:v>
      </x:c>
      <x:c r="C43" s="37" t="str">
        <x:v>Challenges, points, levels, voting, collection, and progress systems.</x:v>
      </x:c>
      <x:c r="D43" s="37" t="str">
        <x:v>Engagement</x:v>
      </x:c>
      <x:c r="E43" s="38" t="str">
        <x:v>Proposed V7 canonical — ready for Census approval</x:v>
      </x:c>
    </x:row>
    <x:row r="44" ht="38" customHeight="1">
      <x:c r="A44" s="60" t="str">
        <x:v>FAM-38</x:v>
      </x:c>
      <x:c r="B44" s="37" t="str">
        <x:v>Native/desktop packaging route</x:v>
      </x:c>
      <x:c r="C44" s="37" t="str">
        <x:v>Native mobile or desktop packaging, device integrations, and distribution path.</x:v>
      </x:c>
      <x:c r="D44" s="37" t="str">
        <x:v>Delivery</x:v>
      </x:c>
      <x:c r="E44" s="38" t="str">
        <x:v>Proposed V7 canonical — ready for Census approval</x:v>
      </x:c>
    </x:row>
    <x:row r="45" ht="38" customHeight="1">
      <x:c r="A45" s="60" t="str">
        <x:v>FAM-39</x:v>
      </x:c>
      <x:c r="B45" s="37" t="str">
        <x:v>Physical-product companion &amp; validation</x:v>
      </x:c>
      <x:c r="C45" s="37" t="str">
        <x:v>Landing pages, waitlists, product configuration, hardware documentation, and physical-product data.</x:v>
      </x:c>
      <x:c r="D45" s="37" t="str">
        <x:v>Physical venture</x:v>
      </x:c>
      <x:c r="E45" s="38" t="str">
        <x:v>Proposed V7 canonical — ready for Census approval</x:v>
      </x:c>
    </x:row>
    <x:row r="46" ht="38" customHeight="1">
      <x:c r="A46" s="61" t="str">
        <x:v>FAM-40</x:v>
      </x:c>
      <x:c r="B46" s="40" t="str">
        <x:v>Research, validation &amp; launch experiment</x:v>
      </x:c>
      <x:c r="C46" s="40" t="str">
        <x:v>Landing tests, surveys, waitlists, hypotheses, experiments, and evidence capture.</x:v>
      </x:c>
      <x:c r="D46" s="40" t="str">
        <x:v>Validation</x:v>
      </x:c>
      <x:c r="E46" s="41" t="str">
        <x:v>Proposed V7 canonical — ready for Census approval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066464ae8c874d6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4" hidden="0" customWidth="1"/>
    <x:col min="3" max="3" width="16" hidden="0" customWidth="1"/>
    <x:col min="4" max="4" width="26" hidden="0" customWidth="1"/>
    <x:col min="5" max="5" width="14" hidden="0" customWidth="1"/>
    <x:col min="6" max="6" width="16" hidden="0" customWidth="1"/>
    <x:col min="7" max="7" width="17" hidden="0" customWidth="1"/>
    <x:col min="8" max="8" width="25" hidden="0" customWidth="1"/>
    <x:col min="9" max="9" width="29" hidden="0" customWidth="1"/>
    <x:col min="10" max="10" width="36" hidden="0" customWidth="1"/>
    <x:col min="11" max="11" width="26" hidden="0" customWidth="1"/>
    <x:col min="12" max="12" width="28" hidden="0" customWidth="1"/>
    <x:col min="13" max="13" width="28" hidden="0" customWidth="1"/>
    <x:col min="14" max="14" width="42" hidden="0" customWidth="1"/>
  </x:cols>
  <x:sheetData>
    <x:row r="1" ht="30" customHeight="1">
      <x:c r="A1" s="4" t="str">
        <x:v>FUSION BRIDGE — READY FOR CENSUS SUPPLY EVIDENCE</x:v>
      </x:c>
    </x:row>
    <x:row r="2" ht="28" customHeight="1">
      <x:c r="A2" s="8" t="str">
        <x:v>This sheet does not pretend to pick a builder before Census facts exist. It shows each project’s usable strict/flexible demand profile and its deterministic join key.</x:v>
      </x:c>
    </x:row>
    <x:row r="6">
      <x:c r="A6" s="14" t="str">
        <x:v>Dossier Project ID</x:v>
      </x:c>
      <x:c r="B6" s="14" t="str">
        <x:v>Project</x:v>
      </x:c>
      <x:c r="C6" s="14" t="str">
        <x:v>Portfolio Lane</x:v>
      </x:c>
      <x:c r="D6" s="14" t="str">
        <x:v>Census Route</x:v>
      </x:c>
      <x:c r="E6" s="14" t="str">
        <x:v>Must FAM Count</x:v>
      </x:c>
      <x:c r="F6" s="14" t="str">
        <x:v>Important FAM Count</x:v>
      </x:c>
      <x:c r="G6" s="14" t="str">
        <x:v>Expansion FAM Count</x:v>
      </x:c>
      <x:c r="H6" s="14" t="str">
        <x:v>Strict Join Key</x:v>
      </x:c>
      <x:c r="I6" s="14" t="str">
        <x:v>Flexible Join Key</x:v>
      </x:c>
      <x:c r="J6" s="14" t="str">
        <x:v>Census Readiness</x:v>
      </x:c>
      <x:c r="K6" s="14" t="str">
        <x:v>Strict Route Result</x:v>
      </x:c>
      <x:c r="L6" s="14" t="str">
        <x:v>Flexible Route Result</x:v>
      </x:c>
      <x:c r="M6" s="14" t="str">
        <x:v>Chosen Builder / Stack</x:v>
      </x:c>
      <x:c r="N6" s="14" t="str">
        <x:v>Decision Note</x:v>
      </x:c>
    </x:row>
    <x:row r="7" ht="46" customHeight="1">
      <x:c r="A7" s="33" t="str">
        <x:v>DOS-001</x:v>
      </x:c>
      <x:c r="B7" s="34" t="str">
        <x:v>KaraokeDokie — Phase 1</x:v>
      </x:c>
      <x:c r="C7" s="34" t="str">
        <x:v>First Wave</x:v>
      </x:c>
      <x:c r="D7" s="34" t="str">
        <x:v>Direct Census comparison</x:v>
      </x:c>
      <x:c r="E7" s="74" t="n">
        <x:f>COUNTIFS('Requirement Map'!$A$7:$A$1051,A7,'Requirement Map'!$E$7:$E$1051,"Must")</x:f>
        <x:v>6</x:v>
      </x:c>
      <x:c r="F7" s="74" t="n">
        <x:f>COUNTIFS('Requirement Map'!$A$7:$A$1051,A7,'Requirement Map'!$E$7:$E$1051,"Important")</x:f>
        <x:v>6</x:v>
      </x:c>
      <x:c r="G7" s="74" t="n">
        <x:f>COUNTIFS('Requirement Map'!$A$7:$A$1051,A7,'Requirement Map'!$E$7:$E$1051,"Expansion")</x:f>
        <x:v>5</x:v>
      </x:c>
      <x:c r="H7" s="34" t="str">
        <x:v>DOS-001 | Must FAM IDs</x:v>
      </x:c>
      <x:c r="I7" s="34" t="str">
        <x:v>DOS-001 | Must + Important FAM IDs</x:v>
      </x:c>
      <x:c r="J7" s="34" t="str">
        <x:f>IF(E7=0,"BLOCKED — no Must profile","READY — compare with Census Platform Facts / Coverage")</x:f>
        <x:v>READY — compare with Census Platform Facts / Coverage</x:v>
      </x:c>
      <x:c r="K7" s="62" t="str">
        <x:v>Awaiting Census evidence</x:v>
      </x:c>
      <x:c r="L7" s="62" t="str">
        <x:v>Awaiting Census evidence</x:v>
      </x:c>
      <x:c r="M7" s="62" t="str"/>
      <x:c r="N7" s="63" t="str"/>
    </x:row>
    <x:row r="8" ht="46" customHeight="1">
      <x:c r="A8" s="36" t="str">
        <x:v>DOS-002</x:v>
      </x:c>
      <x:c r="B8" s="37" t="str">
        <x:v>KaraokeDokie — Media Intelligence &amp; Phase 2</x:v>
      </x:c>
      <x:c r="C8" s="37" t="str">
        <x:v>Expansion</x:v>
      </x:c>
      <x:c r="D8" s="37" t="str">
        <x:v>Direct Census comparison</x:v>
      </x:c>
      <x:c r="E8" s="75" t="n">
        <x:f>COUNTIFS('Requirement Map'!$A$7:$A$1051,A8,'Requirement Map'!$E$7:$E$1051,"Must")</x:f>
        <x:v>9</x:v>
      </x:c>
      <x:c r="F8" s="75" t="n">
        <x:f>COUNTIFS('Requirement Map'!$A$7:$A$1051,A8,'Requirement Map'!$E$7:$E$1051,"Important")</x:f>
        <x:v>7</x:v>
      </x:c>
      <x:c r="G8" s="75" t="n">
        <x:f>COUNTIFS('Requirement Map'!$A$7:$A$1051,A8,'Requirement Map'!$E$7:$E$1051,"Expansion")</x:f>
        <x:v>4</x:v>
      </x:c>
      <x:c r="H8" s="37" t="str">
        <x:v>DOS-002 | Must FAM IDs</x:v>
      </x:c>
      <x:c r="I8" s="37" t="str">
        <x:v>DOS-002 | Must + Important FAM IDs</x:v>
      </x:c>
      <x:c r="J8" s="37" t="str">
        <x:f>IF(E8=0,"BLOCKED — no Must profile","READY — compare with Census Platform Facts / Coverage")</x:f>
        <x:v>READY — compare with Census Platform Facts / Coverage</x:v>
      </x:c>
      <x:c r="K8" s="64" t="str">
        <x:v>Awaiting Census evidence</x:v>
      </x:c>
      <x:c r="L8" s="64" t="str">
        <x:v>Awaiting Census evidence</x:v>
      </x:c>
      <x:c r="M8" s="64" t="str"/>
      <x:c r="N8" s="65" t="str"/>
    </x:row>
    <x:row r="9" ht="46" customHeight="1">
      <x:c r="A9" s="36" t="str">
        <x:v>DOS-003</x:v>
      </x:c>
      <x:c r="B9" s="37" t="str">
        <x:v>Karaoke 2.0 / Digital Isolation Chamber</x:v>
      </x:c>
      <x:c r="C9" s="37" t="str">
        <x:v>Long-Horizon</x:v>
      </x:c>
      <x:c r="D9" s="37" t="str">
        <x:v>Direct Census comparison</x:v>
      </x:c>
      <x:c r="E9" s="75" t="n">
        <x:f>COUNTIFS('Requirement Map'!$A$7:$A$1051,A9,'Requirement Map'!$E$7:$E$1051,"Must")</x:f>
        <x:v>5</x:v>
      </x:c>
      <x:c r="F9" s="75" t="n">
        <x:f>COUNTIFS('Requirement Map'!$A$7:$A$1051,A9,'Requirement Map'!$E$7:$E$1051,"Important")</x:f>
        <x:v>6</x:v>
      </x:c>
      <x:c r="G9" s="75" t="n">
        <x:f>COUNTIFS('Requirement Map'!$A$7:$A$1051,A9,'Requirement Map'!$E$7:$E$1051,"Expansion")</x:f>
        <x:v>4</x:v>
      </x:c>
      <x:c r="H9" s="37" t="str">
        <x:v>DOS-003 | Must FAM IDs</x:v>
      </x:c>
      <x:c r="I9" s="37" t="str">
        <x:v>DOS-003 | Must + Important FAM IDs</x:v>
      </x:c>
      <x:c r="J9" s="37" t="str">
        <x:f>IF(E9=0,"BLOCKED — no Must profile","READY — compare with Census Platform Facts / Coverage")</x:f>
        <x:v>READY — compare with Census Platform Facts / Coverage</x:v>
      </x:c>
      <x:c r="K9" s="64" t="str">
        <x:v>Awaiting Census evidence</x:v>
      </x:c>
      <x:c r="L9" s="64" t="str">
        <x:v>Awaiting Census evidence</x:v>
      </x:c>
      <x:c r="M9" s="64" t="str"/>
      <x:c r="N9" s="65" t="str"/>
    </x:row>
    <x:row r="10" ht="46" customHeight="1">
      <x:c r="A10" s="36" t="str">
        <x:v>DOS-004</x:v>
      </x:c>
      <x:c r="B10" s="37" t="str">
        <x:v>Zafstagram</x:v>
      </x:c>
      <x:c r="C10" s="37" t="str">
        <x:v>First Wave</x:v>
      </x:c>
      <x:c r="D10" s="37" t="str">
        <x:v>Direct Census comparison</x:v>
      </x:c>
      <x:c r="E10" s="75" t="n">
        <x:f>COUNTIFS('Requirement Map'!$A$7:$A$1051,A10,'Requirement Map'!$E$7:$E$1051,"Must")</x:f>
        <x:v>9</x:v>
      </x:c>
      <x:c r="F10" s="75" t="n">
        <x:f>COUNTIFS('Requirement Map'!$A$7:$A$1051,A10,'Requirement Map'!$E$7:$E$1051,"Important")</x:f>
        <x:v>8</x:v>
      </x:c>
      <x:c r="G10" s="75" t="n">
        <x:f>COUNTIFS('Requirement Map'!$A$7:$A$1051,A10,'Requirement Map'!$E$7:$E$1051,"Expansion")</x:f>
        <x:v>5</x:v>
      </x:c>
      <x:c r="H10" s="37" t="str">
        <x:v>DOS-004 | Must FAM IDs</x:v>
      </x:c>
      <x:c r="I10" s="37" t="str">
        <x:v>DOS-004 | Must + Important FAM IDs</x:v>
      </x:c>
      <x:c r="J10" s="37" t="str">
        <x:f>IF(E10=0,"BLOCKED — no Must profile","READY — compare with Census Platform Facts / Coverage")</x:f>
        <x:v>READY — compare with Census Platform Facts / Coverage</x:v>
      </x:c>
      <x:c r="K10" s="64" t="str">
        <x:v>Awaiting Census evidence</x:v>
      </x:c>
      <x:c r="L10" s="64" t="str">
        <x:v>Awaiting Census evidence</x:v>
      </x:c>
      <x:c r="M10" s="64" t="str"/>
      <x:c r="N10" s="65" t="str"/>
    </x:row>
    <x:row r="11" ht="46" customHeight="1">
      <x:c r="A11" s="36" t="str">
        <x:v>DOS-005</x:v>
      </x:c>
      <x:c r="B11" s="37" t="str">
        <x:v>ZAF Friends &amp; Family</x:v>
      </x:c>
      <x:c r="C11" s="37" t="str">
        <x:v>First Wave</x:v>
      </x:c>
      <x:c r="D11" s="37" t="str">
        <x:v>Direct Census comparison</x:v>
      </x:c>
      <x:c r="E11" s="75" t="n">
        <x:f>COUNTIFS('Requirement Map'!$A$7:$A$1051,A11,'Requirement Map'!$E$7:$E$1051,"Must")</x:f>
        <x:v>9</x:v>
      </x:c>
      <x:c r="F11" s="75" t="n">
        <x:f>COUNTIFS('Requirement Map'!$A$7:$A$1051,A11,'Requirement Map'!$E$7:$E$1051,"Important")</x:f>
        <x:v>8</x:v>
      </x:c>
      <x:c r="G11" s="75" t="n">
        <x:f>COUNTIFS('Requirement Map'!$A$7:$A$1051,A11,'Requirement Map'!$E$7:$E$1051,"Expansion")</x:f>
        <x:v>5</x:v>
      </x:c>
      <x:c r="H11" s="37" t="str">
        <x:v>DOS-005 | Must FAM IDs</x:v>
      </x:c>
      <x:c r="I11" s="37" t="str">
        <x:v>DOS-005 | Must + Important FAM IDs</x:v>
      </x:c>
      <x:c r="J11" s="37" t="str">
        <x:f>IF(E11=0,"BLOCKED — no Must profile","READY — compare with Census Platform Facts / Coverage")</x:f>
        <x:v>READY — compare with Census Platform Facts / Coverage</x:v>
      </x:c>
      <x:c r="K11" s="64" t="str">
        <x:v>Awaiting Census evidence</x:v>
      </x:c>
      <x:c r="L11" s="64" t="str">
        <x:v>Awaiting Census evidence</x:v>
      </x:c>
      <x:c r="M11" s="64" t="str"/>
      <x:c r="N11" s="65" t="str"/>
    </x:row>
    <x:row r="12" ht="46" customHeight="1">
      <x:c r="A12" s="36" t="str">
        <x:v>DOS-006</x:v>
      </x:c>
      <x:c r="B12" s="37" t="str">
        <x:v>zaf.radio</x:v>
      </x:c>
      <x:c r="C12" s="37" t="str">
        <x:v>First Wave</x:v>
      </x:c>
      <x:c r="D12" s="37" t="str">
        <x:v>Direct Census comparison</x:v>
      </x:c>
      <x:c r="E12" s="75" t="n">
        <x:f>COUNTIFS('Requirement Map'!$A$7:$A$1051,A12,'Requirement Map'!$E$7:$E$1051,"Must")</x:f>
        <x:v>9</x:v>
      </x:c>
      <x:c r="F12" s="75" t="n">
        <x:f>COUNTIFS('Requirement Map'!$A$7:$A$1051,A12,'Requirement Map'!$E$7:$E$1051,"Important")</x:f>
        <x:v>8</x:v>
      </x:c>
      <x:c r="G12" s="75" t="n">
        <x:f>COUNTIFS('Requirement Map'!$A$7:$A$1051,A12,'Requirement Map'!$E$7:$E$1051,"Expansion")</x:f>
        <x:v>5</x:v>
      </x:c>
      <x:c r="H12" s="37" t="str">
        <x:v>DOS-006 | Must FAM IDs</x:v>
      </x:c>
      <x:c r="I12" s="37" t="str">
        <x:v>DOS-006 | Must + Important FAM IDs</x:v>
      </x:c>
      <x:c r="J12" s="37" t="str">
        <x:f>IF(E12=0,"BLOCKED — no Must profile","READY — compare with Census Platform Facts / Coverage")</x:f>
        <x:v>READY — compare with Census Platform Facts / Coverage</x:v>
      </x:c>
      <x:c r="K12" s="64" t="str">
        <x:v>Awaiting Census evidence</x:v>
      </x:c>
      <x:c r="L12" s="64" t="str">
        <x:v>Awaiting Census evidence</x:v>
      </x:c>
      <x:c r="M12" s="64" t="str"/>
      <x:c r="N12" s="65" t="str"/>
    </x:row>
    <x:row r="13" ht="46" customHeight="1">
      <x:c r="A13" s="36" t="str">
        <x:v>DOS-007</x:v>
      </x:c>
      <x:c r="B13" s="37" t="str">
        <x:v>ZAF Prestige</x:v>
      </x:c>
      <x:c r="C13" s="37" t="str">
        <x:v>First Wave</x:v>
      </x:c>
      <x:c r="D13" s="37" t="str">
        <x:v>Direct Census comparison</x:v>
      </x:c>
      <x:c r="E13" s="75" t="n">
        <x:f>COUNTIFS('Requirement Map'!$A$7:$A$1051,A13,'Requirement Map'!$E$7:$E$1051,"Must")</x:f>
        <x:v>9</x:v>
      </x:c>
      <x:c r="F13" s="75" t="n">
        <x:f>COUNTIFS('Requirement Map'!$A$7:$A$1051,A13,'Requirement Map'!$E$7:$E$1051,"Important")</x:f>
        <x:v>9</x:v>
      </x:c>
      <x:c r="G13" s="75" t="n">
        <x:f>COUNTIFS('Requirement Map'!$A$7:$A$1051,A13,'Requirement Map'!$E$7:$E$1051,"Expansion")</x:f>
        <x:v>4</x:v>
      </x:c>
      <x:c r="H13" s="37" t="str">
        <x:v>DOS-007 | Must FAM IDs</x:v>
      </x:c>
      <x:c r="I13" s="37" t="str">
        <x:v>DOS-007 | Must + Important FAM IDs</x:v>
      </x:c>
      <x:c r="J13" s="37" t="str">
        <x:f>IF(E13=0,"BLOCKED — no Must profile","READY — compare with Census Platform Facts / Coverage")</x:f>
        <x:v>READY — compare with Census Platform Facts / Coverage</x:v>
      </x:c>
      <x:c r="K13" s="64" t="str">
        <x:v>Awaiting Census evidence</x:v>
      </x:c>
      <x:c r="L13" s="64" t="str">
        <x:v>Awaiting Census evidence</x:v>
      </x:c>
      <x:c r="M13" s="64" t="str"/>
      <x:c r="N13" s="65" t="str"/>
    </x:row>
    <x:row r="14" ht="46" customHeight="1">
      <x:c r="A14" s="36" t="str">
        <x:v>DOS-008</x:v>
      </x:c>
      <x:c r="B14" s="37" t="str">
        <x:v>ZAF Duet Dare &amp; Collaboration</x:v>
      </x:c>
      <x:c r="C14" s="37" t="str">
        <x:v>First Wave</x:v>
      </x:c>
      <x:c r="D14" s="37" t="str">
        <x:v>Direct Census comparison</x:v>
      </x:c>
      <x:c r="E14" s="75" t="n">
        <x:f>COUNTIFS('Requirement Map'!$A$7:$A$1051,A14,'Requirement Map'!$E$7:$E$1051,"Must")</x:f>
        <x:v>8</x:v>
      </x:c>
      <x:c r="F14" s="75" t="n">
        <x:f>COUNTIFS('Requirement Map'!$A$7:$A$1051,A14,'Requirement Map'!$E$7:$E$1051,"Important")</x:f>
        <x:v>7</x:v>
      </x:c>
      <x:c r="G14" s="75" t="n">
        <x:f>COUNTIFS('Requirement Map'!$A$7:$A$1051,A14,'Requirement Map'!$E$7:$E$1051,"Expansion")</x:f>
        <x:v>5</x:v>
      </x:c>
      <x:c r="H14" s="37" t="str">
        <x:v>DOS-008 | Must FAM IDs</x:v>
      </x:c>
      <x:c r="I14" s="37" t="str">
        <x:v>DOS-008 | Must + Important FAM IDs</x:v>
      </x:c>
      <x:c r="J14" s="37" t="str">
        <x:f>IF(E14=0,"BLOCKED — no Must profile","READY — compare with Census Platform Facts / Coverage")</x:f>
        <x:v>READY — compare with Census Platform Facts / Coverage</x:v>
      </x:c>
      <x:c r="K14" s="64" t="str">
        <x:v>Awaiting Census evidence</x:v>
      </x:c>
      <x:c r="L14" s="64" t="str">
        <x:v>Awaiting Census evidence</x:v>
      </x:c>
      <x:c r="M14" s="64" t="str"/>
      <x:c r="N14" s="65" t="str"/>
    </x:row>
    <x:row r="15" ht="46" customHeight="1">
      <x:c r="A15" s="36" t="str">
        <x:v>DOS-009</x:v>
      </x:c>
      <x:c r="B15" s="37" t="str">
        <x:v>Karaoke Hall of Fame</x:v>
      </x:c>
      <x:c r="C15" s="37" t="str">
        <x:v>First Wave</x:v>
      </x:c>
      <x:c r="D15" s="37" t="str">
        <x:v>Direct Census comparison</x:v>
      </x:c>
      <x:c r="E15" s="75" t="n">
        <x:f>COUNTIFS('Requirement Map'!$A$7:$A$1051,A15,'Requirement Map'!$E$7:$E$1051,"Must")</x:f>
        <x:v>5</x:v>
      </x:c>
      <x:c r="F15" s="75" t="n">
        <x:f>COUNTIFS('Requirement Map'!$A$7:$A$1051,A15,'Requirement Map'!$E$7:$E$1051,"Important")</x:f>
        <x:v>6</x:v>
      </x:c>
      <x:c r="G15" s="75" t="n">
        <x:f>COUNTIFS('Requirement Map'!$A$7:$A$1051,A15,'Requirement Map'!$E$7:$E$1051,"Expansion")</x:f>
        <x:v>4</x:v>
      </x:c>
      <x:c r="H15" s="37" t="str">
        <x:v>DOS-009 | Must FAM IDs</x:v>
      </x:c>
      <x:c r="I15" s="37" t="str">
        <x:v>DOS-009 | Must + Important FAM IDs</x:v>
      </x:c>
      <x:c r="J15" s="37" t="str">
        <x:f>IF(E15=0,"BLOCKED — no Must profile","READY — compare with Census Platform Facts / Coverage")</x:f>
        <x:v>READY — compare with Census Platform Facts / Coverage</x:v>
      </x:c>
      <x:c r="K15" s="64" t="str">
        <x:v>Awaiting Census evidence</x:v>
      </x:c>
      <x:c r="L15" s="64" t="str">
        <x:v>Awaiting Census evidence</x:v>
      </x:c>
      <x:c r="M15" s="64" t="str"/>
      <x:c r="N15" s="65" t="str"/>
    </x:row>
    <x:row r="16" ht="46" customHeight="1">
      <x:c r="A16" s="36" t="str">
        <x:v>DOS-010</x:v>
      </x:c>
      <x:c r="B16" s="37" t="str">
        <x:v>Karaoke Walk of Stars</x:v>
      </x:c>
      <x:c r="C16" s="37" t="str">
        <x:v>First Wave</x:v>
      </x:c>
      <x:c r="D16" s="37" t="str">
        <x:v>Direct Census comparison</x:v>
      </x:c>
      <x:c r="E16" s="75" t="n">
        <x:f>COUNTIFS('Requirement Map'!$A$7:$A$1051,A16,'Requirement Map'!$E$7:$E$1051,"Must")</x:f>
        <x:v>8</x:v>
      </x:c>
      <x:c r="F16" s="75" t="n">
        <x:f>COUNTIFS('Requirement Map'!$A$7:$A$1051,A16,'Requirement Map'!$E$7:$E$1051,"Important")</x:f>
        <x:v>7</x:v>
      </x:c>
      <x:c r="G16" s="75" t="n">
        <x:f>COUNTIFS('Requirement Map'!$A$7:$A$1051,A16,'Requirement Map'!$E$7:$E$1051,"Expansion")</x:f>
        <x:v>5</x:v>
      </x:c>
      <x:c r="H16" s="37" t="str">
        <x:v>DOS-010 | Must FAM IDs</x:v>
      </x:c>
      <x:c r="I16" s="37" t="str">
        <x:v>DOS-010 | Must + Important FAM IDs</x:v>
      </x:c>
      <x:c r="J16" s="37" t="str">
        <x:f>IF(E16=0,"BLOCKED — no Must profile","READY — compare with Census Platform Facts / Coverage")</x:f>
        <x:v>READY — compare with Census Platform Facts / Coverage</x:v>
      </x:c>
      <x:c r="K16" s="64" t="str">
        <x:v>Awaiting Census evidence</x:v>
      </x:c>
      <x:c r="L16" s="64" t="str">
        <x:v>Awaiting Census evidence</x:v>
      </x:c>
      <x:c r="M16" s="64" t="str"/>
      <x:c r="N16" s="65" t="str"/>
    </x:row>
    <x:row r="17" ht="46" customHeight="1">
      <x:c r="A17" s="36" t="str">
        <x:v>DOS-011</x:v>
      </x:c>
      <x:c r="B17" s="37" t="str">
        <x:v>zaf.rocks Central Hub</x:v>
      </x:c>
      <x:c r="C17" s="37" t="str">
        <x:v>First Wave</x:v>
      </x:c>
      <x:c r="D17" s="37" t="str">
        <x:v>Direct Census comparison</x:v>
      </x:c>
      <x:c r="E17" s="75" t="n">
        <x:f>COUNTIFS('Requirement Map'!$A$7:$A$1051,A17,'Requirement Map'!$E$7:$E$1051,"Must")</x:f>
        <x:v>5</x:v>
      </x:c>
      <x:c r="F17" s="75" t="n">
        <x:f>COUNTIFS('Requirement Map'!$A$7:$A$1051,A17,'Requirement Map'!$E$7:$E$1051,"Important")</x:f>
        <x:v>6</x:v>
      </x:c>
      <x:c r="G17" s="75" t="n">
        <x:f>COUNTIFS('Requirement Map'!$A$7:$A$1051,A17,'Requirement Map'!$E$7:$E$1051,"Expansion")</x:f>
        <x:v>4</x:v>
      </x:c>
      <x:c r="H17" s="37" t="str">
        <x:v>DOS-011 | Must FAM IDs</x:v>
      </x:c>
      <x:c r="I17" s="37" t="str">
        <x:v>DOS-011 | Must + Important FAM IDs</x:v>
      </x:c>
      <x:c r="J17" s="37" t="str">
        <x:f>IF(E17=0,"BLOCKED — no Must profile","READY — compare with Census Platform Facts / Coverage")</x:f>
        <x:v>READY — compare with Census Platform Facts / Coverage</x:v>
      </x:c>
      <x:c r="K17" s="64" t="str">
        <x:v>Awaiting Census evidence</x:v>
      </x:c>
      <x:c r="L17" s="64" t="str">
        <x:v>Awaiting Census evidence</x:v>
      </x:c>
      <x:c r="M17" s="64" t="str"/>
      <x:c r="N17" s="65" t="str"/>
    </x:row>
    <x:row r="18" ht="46" customHeight="1">
      <x:c r="A18" s="36" t="str">
        <x:v>DOS-012</x:v>
      </x:c>
      <x:c r="B18" s="37" t="str">
        <x:v>Artist Portfolio Initiative</x:v>
      </x:c>
      <x:c r="C18" s="37" t="str">
        <x:v>First Wave</x:v>
      </x:c>
      <x:c r="D18" s="37" t="str">
        <x:v>Direct Census comparison</x:v>
      </x:c>
      <x:c r="E18" s="75" t="n">
        <x:f>COUNTIFS('Requirement Map'!$A$7:$A$1051,A18,'Requirement Map'!$E$7:$E$1051,"Must")</x:f>
        <x:v>7</x:v>
      </x:c>
      <x:c r="F18" s="75" t="n">
        <x:f>COUNTIFS('Requirement Map'!$A$7:$A$1051,A18,'Requirement Map'!$E$7:$E$1051,"Important")</x:f>
        <x:v>7</x:v>
      </x:c>
      <x:c r="G18" s="75" t="n">
        <x:f>COUNTIFS('Requirement Map'!$A$7:$A$1051,A18,'Requirement Map'!$E$7:$E$1051,"Expansion")</x:f>
        <x:v>4</x:v>
      </x:c>
      <x:c r="H18" s="37" t="str">
        <x:v>DOS-012 | Must FAM IDs</x:v>
      </x:c>
      <x:c r="I18" s="37" t="str">
        <x:v>DOS-012 | Must + Important FAM IDs</x:v>
      </x:c>
      <x:c r="J18" s="37" t="str">
        <x:f>IF(E18=0,"BLOCKED — no Must profile","READY — compare with Census Platform Facts / Coverage")</x:f>
        <x:v>READY — compare with Census Platform Facts / Coverage</x:v>
      </x:c>
      <x:c r="K18" s="64" t="str">
        <x:v>Awaiting Census evidence</x:v>
      </x:c>
      <x:c r="L18" s="64" t="str">
        <x:v>Awaiting Census evidence</x:v>
      </x:c>
      <x:c r="M18" s="64" t="str"/>
      <x:c r="N18" s="65" t="str"/>
    </x:row>
    <x:row r="19" ht="46" customHeight="1">
      <x:c r="A19" s="36" t="str">
        <x:v>DOS-013</x:v>
      </x:c>
      <x:c r="B19" s="37" t="str">
        <x:v>ZAF Production, Label &amp; Talent Portals</x:v>
      </x:c>
      <x:c r="C19" s="37" t="str">
        <x:v>First Wave</x:v>
      </x:c>
      <x:c r="D19" s="37" t="str">
        <x:v>Direct Census comparison</x:v>
      </x:c>
      <x:c r="E19" s="75" t="n">
        <x:f>COUNTIFS('Requirement Map'!$A$7:$A$1051,A19,'Requirement Map'!$E$7:$E$1051,"Must")</x:f>
        <x:v>5</x:v>
      </x:c>
      <x:c r="F19" s="75" t="n">
        <x:f>COUNTIFS('Requirement Map'!$A$7:$A$1051,A19,'Requirement Map'!$E$7:$E$1051,"Important")</x:f>
        <x:v>6</x:v>
      </x:c>
      <x:c r="G19" s="75" t="n">
        <x:f>COUNTIFS('Requirement Map'!$A$7:$A$1051,A19,'Requirement Map'!$E$7:$E$1051,"Expansion")</x:f>
        <x:v>4</x:v>
      </x:c>
      <x:c r="H19" s="37" t="str">
        <x:v>DOS-013 | Must FAM IDs</x:v>
      </x:c>
      <x:c r="I19" s="37" t="str">
        <x:v>DOS-013 | Must + Important FAM IDs</x:v>
      </x:c>
      <x:c r="J19" s="37" t="str">
        <x:f>IF(E19=0,"BLOCKED — no Must profile","READY — compare with Census Platform Facts / Coverage")</x:f>
        <x:v>READY — compare with Census Platform Facts / Coverage</x:v>
      </x:c>
      <x:c r="K19" s="64" t="str">
        <x:v>Awaiting Census evidence</x:v>
      </x:c>
      <x:c r="L19" s="64" t="str">
        <x:v>Awaiting Census evidence</x:v>
      </x:c>
      <x:c r="M19" s="64" t="str"/>
      <x:c r="N19" s="65" t="str"/>
    </x:row>
    <x:row r="20" ht="46" customHeight="1">
      <x:c r="A20" s="36" t="str">
        <x:v>DOS-014</x:v>
      </x:c>
      <x:c r="B20" s="37" t="str">
        <x:v>Zaffie</x:v>
      </x:c>
      <x:c r="C20" s="37" t="str">
        <x:v>First Wave</x:v>
      </x:c>
      <x:c r="D20" s="37" t="str">
        <x:v>Direct Census comparison</x:v>
      </x:c>
      <x:c r="E20" s="75" t="n">
        <x:f>COUNTIFS('Requirement Map'!$A$7:$A$1051,A20,'Requirement Map'!$E$7:$E$1051,"Must")</x:f>
        <x:v>7</x:v>
      </x:c>
      <x:c r="F20" s="75" t="n">
        <x:f>COUNTIFS('Requirement Map'!$A$7:$A$1051,A20,'Requirement Map'!$E$7:$E$1051,"Important")</x:f>
        <x:v>8</x:v>
      </x:c>
      <x:c r="G20" s="75" t="n">
        <x:f>COUNTIFS('Requirement Map'!$A$7:$A$1051,A20,'Requirement Map'!$E$7:$E$1051,"Expansion")</x:f>
        <x:v>4</x:v>
      </x:c>
      <x:c r="H20" s="37" t="str">
        <x:v>DOS-014 | Must FAM IDs</x:v>
      </x:c>
      <x:c r="I20" s="37" t="str">
        <x:v>DOS-014 | Must + Important FAM IDs</x:v>
      </x:c>
      <x:c r="J20" s="37" t="str">
        <x:f>IF(E20=0,"BLOCKED — no Must profile","READY — compare with Census Platform Facts / Coverage")</x:f>
        <x:v>READY — compare with Census Platform Facts / Coverage</x:v>
      </x:c>
      <x:c r="K20" s="64" t="str">
        <x:v>Awaiting Census evidence</x:v>
      </x:c>
      <x:c r="L20" s="64" t="str">
        <x:v>Awaiting Census evidence</x:v>
      </x:c>
      <x:c r="M20" s="64" t="str"/>
      <x:c r="N20" s="65" t="str"/>
    </x:row>
    <x:row r="21" ht="46" customHeight="1">
      <x:c r="A21" s="36" t="str">
        <x:v>DOS-015</x:v>
      </x:c>
      <x:c r="B21" s="37" t="str">
        <x:v>ZAF Identity StudioZ / Unicode Universe</x:v>
      </x:c>
      <x:c r="C21" s="37" t="str">
        <x:v>First Wave</x:v>
      </x:c>
      <x:c r="D21" s="37" t="str">
        <x:v>Direct Census comparison</x:v>
      </x:c>
      <x:c r="E21" s="75" t="n">
        <x:f>COUNTIFS('Requirement Map'!$A$7:$A$1051,A21,'Requirement Map'!$E$7:$E$1051,"Must")</x:f>
        <x:v>7</x:v>
      </x:c>
      <x:c r="F21" s="75" t="n">
        <x:f>COUNTIFS('Requirement Map'!$A$7:$A$1051,A21,'Requirement Map'!$E$7:$E$1051,"Important")</x:f>
        <x:v>8</x:v>
      </x:c>
      <x:c r="G21" s="75" t="n">
        <x:f>COUNTIFS('Requirement Map'!$A$7:$A$1051,A21,'Requirement Map'!$E$7:$E$1051,"Expansion")</x:f>
        <x:v>4</x:v>
      </x:c>
      <x:c r="H21" s="37" t="str">
        <x:v>DOS-015 | Must FAM IDs</x:v>
      </x:c>
      <x:c r="I21" s="37" t="str">
        <x:v>DOS-015 | Must + Important FAM IDs</x:v>
      </x:c>
      <x:c r="J21" s="37" t="str">
        <x:f>IF(E21=0,"BLOCKED — no Must profile","READY — compare with Census Platform Facts / Coverage")</x:f>
        <x:v>READY — compare with Census Platform Facts / Coverage</x:v>
      </x:c>
      <x:c r="K21" s="64" t="str">
        <x:v>Awaiting Census evidence</x:v>
      </x:c>
      <x:c r="L21" s="64" t="str">
        <x:v>Awaiting Census evidence</x:v>
      </x:c>
      <x:c r="M21" s="64" t="str"/>
      <x:c r="N21" s="65" t="str"/>
    </x:row>
    <x:row r="22" ht="46" customHeight="1">
      <x:c r="A22" s="36" t="str">
        <x:v>DOS-016</x:v>
      </x:c>
      <x:c r="B22" s="37" t="str">
        <x:v>TaxOGen</x:v>
      </x:c>
      <x:c r="C22" s="37" t="str">
        <x:v>Fast Prototype</x:v>
      </x:c>
      <x:c r="D22" s="37" t="str">
        <x:v>Direct Census comparison</x:v>
      </x:c>
      <x:c r="E22" s="75" t="n">
        <x:f>COUNTIFS('Requirement Map'!$A$7:$A$1051,A22,'Requirement Map'!$E$7:$E$1051,"Must")</x:f>
        <x:v>7</x:v>
      </x:c>
      <x:c r="F22" s="75" t="n">
        <x:f>COUNTIFS('Requirement Map'!$A$7:$A$1051,A22,'Requirement Map'!$E$7:$E$1051,"Important")</x:f>
        <x:v>8</x:v>
      </x:c>
      <x:c r="G22" s="75" t="n">
        <x:f>COUNTIFS('Requirement Map'!$A$7:$A$1051,A22,'Requirement Map'!$E$7:$E$1051,"Expansion")</x:f>
        <x:v>4</x:v>
      </x:c>
      <x:c r="H22" s="37" t="str">
        <x:v>DOS-016 | Must FAM IDs</x:v>
      </x:c>
      <x:c r="I22" s="37" t="str">
        <x:v>DOS-016 | Must + Important FAM IDs</x:v>
      </x:c>
      <x:c r="J22" s="37" t="str">
        <x:f>IF(E22=0,"BLOCKED — no Must profile","READY — compare with Census Platform Facts / Coverage")</x:f>
        <x:v>READY — compare with Census Platform Facts / Coverage</x:v>
      </x:c>
      <x:c r="K22" s="64" t="str">
        <x:v>Awaiting Census evidence</x:v>
      </x:c>
      <x:c r="L22" s="64" t="str">
        <x:v>Awaiting Census evidence</x:v>
      </x:c>
      <x:c r="M22" s="64" t="str"/>
      <x:c r="N22" s="65" t="str"/>
    </x:row>
    <x:row r="23" ht="46" customHeight="1">
      <x:c r="A23" s="36" t="str">
        <x:v>DOS-017</x:v>
      </x:c>
      <x:c r="B23" s="37" t="str">
        <x:v>Noteworthy / Who GiveZAFuck</x:v>
      </x:c>
      <x:c r="C23" s="37" t="str">
        <x:v>First Wave</x:v>
      </x:c>
      <x:c r="D23" s="37" t="str">
        <x:v>Direct Census comparison</x:v>
      </x:c>
      <x:c r="E23" s="75" t="n">
        <x:f>COUNTIFS('Requirement Map'!$A$7:$A$1051,A23,'Requirement Map'!$E$7:$E$1051,"Must")</x:f>
        <x:v>7</x:v>
      </x:c>
      <x:c r="F23" s="75" t="n">
        <x:f>COUNTIFS('Requirement Map'!$A$7:$A$1051,A23,'Requirement Map'!$E$7:$E$1051,"Important")</x:f>
        <x:v>9</x:v>
      </x:c>
      <x:c r="G23" s="75" t="n">
        <x:f>COUNTIFS('Requirement Map'!$A$7:$A$1051,A23,'Requirement Map'!$E$7:$E$1051,"Expansion")</x:f>
        <x:v>4</x:v>
      </x:c>
      <x:c r="H23" s="37" t="str">
        <x:v>DOS-017 | Must FAM IDs</x:v>
      </x:c>
      <x:c r="I23" s="37" t="str">
        <x:v>DOS-017 | Must + Important FAM IDs</x:v>
      </x:c>
      <x:c r="J23" s="37" t="str">
        <x:f>IF(E23=0,"BLOCKED — no Must profile","READY — compare with Census Platform Facts / Coverage")</x:f>
        <x:v>READY — compare with Census Platform Facts / Coverage</x:v>
      </x:c>
      <x:c r="K23" s="64" t="str">
        <x:v>Awaiting Census evidence</x:v>
      </x:c>
      <x:c r="L23" s="64" t="str">
        <x:v>Awaiting Census evidence</x:v>
      </x:c>
      <x:c r="M23" s="64" t="str"/>
      <x:c r="N23" s="65" t="str"/>
    </x:row>
    <x:row r="24" ht="46" customHeight="1">
      <x:c r="A24" s="36" t="str">
        <x:v>DOS-018</x:v>
      </x:c>
      <x:c r="B24" s="37" t="str">
        <x:v>Prompt Vault / PromptOS / PromptForge</x:v>
      </x:c>
      <x:c r="C24" s="37" t="str">
        <x:v>Fast Prototype</x:v>
      </x:c>
      <x:c r="D24" s="37" t="str">
        <x:v>Direct Census comparison</x:v>
      </x:c>
      <x:c r="E24" s="75" t="n">
        <x:f>COUNTIFS('Requirement Map'!$A$7:$A$1051,A24,'Requirement Map'!$E$7:$E$1051,"Must")</x:f>
        <x:v>7</x:v>
      </x:c>
      <x:c r="F24" s="75" t="n">
        <x:f>COUNTIFS('Requirement Map'!$A$7:$A$1051,A24,'Requirement Map'!$E$7:$E$1051,"Important")</x:f>
        <x:v>7</x:v>
      </x:c>
      <x:c r="G24" s="75" t="n">
        <x:f>COUNTIFS('Requirement Map'!$A$7:$A$1051,A24,'Requirement Map'!$E$7:$E$1051,"Expansion")</x:f>
        <x:v>4</x:v>
      </x:c>
      <x:c r="H24" s="37" t="str">
        <x:v>DOS-018 | Must FAM IDs</x:v>
      </x:c>
      <x:c r="I24" s="37" t="str">
        <x:v>DOS-018 | Must + Important FAM IDs</x:v>
      </x:c>
      <x:c r="J24" s="37" t="str">
        <x:f>IF(E24=0,"BLOCKED — no Must profile","READY — compare with Census Platform Facts / Coverage")</x:f>
        <x:v>READY — compare with Census Platform Facts / Coverage</x:v>
      </x:c>
      <x:c r="K24" s="64" t="str">
        <x:v>Awaiting Census evidence</x:v>
      </x:c>
      <x:c r="L24" s="64" t="str">
        <x:v>Awaiting Census evidence</x:v>
      </x:c>
      <x:c r="M24" s="64" t="str"/>
      <x:c r="N24" s="65" t="str"/>
    </x:row>
    <x:row r="25" ht="46" customHeight="1">
      <x:c r="A25" s="36" t="str">
        <x:v>DOS-019</x:v>
      </x:c>
      <x:c r="B25" s="37" t="str">
        <x:v>AI Source-Material Repository</x:v>
      </x:c>
      <x:c r="C25" s="37" t="str">
        <x:v>Expansion</x:v>
      </x:c>
      <x:c r="D25" s="37" t="str">
        <x:v>Direct Census comparison</x:v>
      </x:c>
      <x:c r="E25" s="75" t="n">
        <x:f>COUNTIFS('Requirement Map'!$A$7:$A$1051,A25,'Requirement Map'!$E$7:$E$1051,"Must")</x:f>
        <x:v>9</x:v>
      </x:c>
      <x:c r="F25" s="75" t="n">
        <x:f>COUNTIFS('Requirement Map'!$A$7:$A$1051,A25,'Requirement Map'!$E$7:$E$1051,"Important")</x:f>
        <x:v>8</x:v>
      </x:c>
      <x:c r="G25" s="75" t="n">
        <x:f>COUNTIFS('Requirement Map'!$A$7:$A$1051,A25,'Requirement Map'!$E$7:$E$1051,"Expansion")</x:f>
        <x:v>5</x:v>
      </x:c>
      <x:c r="H25" s="37" t="str">
        <x:v>DOS-019 | Must FAM IDs</x:v>
      </x:c>
      <x:c r="I25" s="37" t="str">
        <x:v>DOS-019 | Must + Important FAM IDs</x:v>
      </x:c>
      <x:c r="J25" s="37" t="str">
        <x:f>IF(E25=0,"BLOCKED — no Must profile","READY — compare with Census Platform Facts / Coverage")</x:f>
        <x:v>READY — compare with Census Platform Facts / Coverage</x:v>
      </x:c>
      <x:c r="K25" s="64" t="str">
        <x:v>Awaiting Census evidence</x:v>
      </x:c>
      <x:c r="L25" s="64" t="str">
        <x:v>Awaiting Census evidence</x:v>
      </x:c>
      <x:c r="M25" s="64" t="str"/>
      <x:c r="N25" s="65" t="str"/>
    </x:row>
    <x:row r="26" ht="46" customHeight="1">
      <x:c r="A26" s="36" t="str">
        <x:v>DOS-020</x:v>
      </x:c>
      <x:c r="B26" s="37" t="str">
        <x:v>Census + Dossier Builder Advisor / Public Selector</x:v>
      </x:c>
      <x:c r="C26" s="37" t="str">
        <x:v>First Wave</x:v>
      </x:c>
      <x:c r="D26" s="37" t="str">
        <x:v>Direct Census comparison</x:v>
      </x:c>
      <x:c r="E26" s="75" t="n">
        <x:f>COUNTIFS('Requirement Map'!$A$7:$A$1051,A26,'Requirement Map'!$E$7:$E$1051,"Must")</x:f>
        <x:v>7</x:v>
      </x:c>
      <x:c r="F26" s="75" t="n">
        <x:f>COUNTIFS('Requirement Map'!$A$7:$A$1051,A26,'Requirement Map'!$E$7:$E$1051,"Important")</x:f>
        <x:v>8</x:v>
      </x:c>
      <x:c r="G26" s="75" t="n">
        <x:f>COUNTIFS('Requirement Map'!$A$7:$A$1051,A26,'Requirement Map'!$E$7:$E$1051,"Expansion")</x:f>
        <x:v>4</x:v>
      </x:c>
      <x:c r="H26" s="37" t="str">
        <x:v>DOS-020 | Must FAM IDs</x:v>
      </x:c>
      <x:c r="I26" s="37" t="str">
        <x:v>DOS-020 | Must + Important FAM IDs</x:v>
      </x:c>
      <x:c r="J26" s="37" t="str">
        <x:f>IF(E26=0,"BLOCKED — no Must profile","READY — compare with Census Platform Facts / Coverage")</x:f>
        <x:v>READY — compare with Census Platform Facts / Coverage</x:v>
      </x:c>
      <x:c r="K26" s="64" t="str">
        <x:v>Awaiting Census evidence</x:v>
      </x:c>
      <x:c r="L26" s="64" t="str">
        <x:v>Awaiting Census evidence</x:v>
      </x:c>
      <x:c r="M26" s="64" t="str"/>
      <x:c r="N26" s="65" t="str"/>
    </x:row>
    <x:row r="27" ht="46" customHeight="1">
      <x:c r="A27" s="36" t="str">
        <x:v>DOS-021</x:v>
      </x:c>
      <x:c r="B27" s="37" t="str">
        <x:v>AI Supplement</x:v>
      </x:c>
      <x:c r="C27" s="37" t="str">
        <x:v>Expansion</x:v>
      </x:c>
      <x:c r="D27" s="37" t="str">
        <x:v>Direct Census comparison</x:v>
      </x:c>
      <x:c r="E27" s="75" t="n">
        <x:f>COUNTIFS('Requirement Map'!$A$7:$A$1051,A27,'Requirement Map'!$E$7:$E$1051,"Must")</x:f>
        <x:v>7</x:v>
      </x:c>
      <x:c r="F27" s="75" t="n">
        <x:f>COUNTIFS('Requirement Map'!$A$7:$A$1051,A27,'Requirement Map'!$E$7:$E$1051,"Important")</x:f>
        <x:v>8</x:v>
      </x:c>
      <x:c r="G27" s="75" t="n">
        <x:f>COUNTIFS('Requirement Map'!$A$7:$A$1051,A27,'Requirement Map'!$E$7:$E$1051,"Expansion")</x:f>
        <x:v>4</x:v>
      </x:c>
      <x:c r="H27" s="37" t="str">
        <x:v>DOS-021 | Must FAM IDs</x:v>
      </x:c>
      <x:c r="I27" s="37" t="str">
        <x:v>DOS-021 | Must + Important FAM IDs</x:v>
      </x:c>
      <x:c r="J27" s="37" t="str">
        <x:f>IF(E27=0,"BLOCKED — no Must profile","READY — compare with Census Platform Facts / Coverage")</x:f>
        <x:v>READY — compare with Census Platform Facts / Coverage</x:v>
      </x:c>
      <x:c r="K27" s="64" t="str">
        <x:v>Awaiting Census evidence</x:v>
      </x:c>
      <x:c r="L27" s="64" t="str">
        <x:v>Awaiting Census evidence</x:v>
      </x:c>
      <x:c r="M27" s="64" t="str"/>
      <x:c r="N27" s="65" t="str"/>
    </x:row>
    <x:row r="28" ht="46" customHeight="1">
      <x:c r="A28" s="36" t="str">
        <x:v>DOS-022</x:v>
      </x:c>
      <x:c r="B28" s="37" t="str">
        <x:v>Personal AI Partner / SelfOS</x:v>
      </x:c>
      <x:c r="C28" s="37" t="str">
        <x:v>Long-Horizon</x:v>
      </x:c>
      <x:c r="D28" s="37" t="str">
        <x:v>Direct Census comparison</x:v>
      </x:c>
      <x:c r="E28" s="75" t="n">
        <x:f>COUNTIFS('Requirement Map'!$A$7:$A$1051,A28,'Requirement Map'!$E$7:$E$1051,"Must")</x:f>
        <x:v>7</x:v>
      </x:c>
      <x:c r="F28" s="75" t="n">
        <x:f>COUNTIFS('Requirement Map'!$A$7:$A$1051,A28,'Requirement Map'!$E$7:$E$1051,"Important")</x:f>
        <x:v>8</x:v>
      </x:c>
      <x:c r="G28" s="75" t="n">
        <x:f>COUNTIFS('Requirement Map'!$A$7:$A$1051,A28,'Requirement Map'!$E$7:$E$1051,"Expansion")</x:f>
        <x:v>4</x:v>
      </x:c>
      <x:c r="H28" s="37" t="str">
        <x:v>DOS-022 | Must FAM IDs</x:v>
      </x:c>
      <x:c r="I28" s="37" t="str">
        <x:v>DOS-022 | Must + Important FAM IDs</x:v>
      </x:c>
      <x:c r="J28" s="37" t="str">
        <x:f>IF(E28=0,"BLOCKED — no Must profile","READY — compare with Census Platform Facts / Coverage")</x:f>
        <x:v>READY — compare with Census Platform Facts / Coverage</x:v>
      </x:c>
      <x:c r="K28" s="64" t="str">
        <x:v>Awaiting Census evidence</x:v>
      </x:c>
      <x:c r="L28" s="64" t="str">
        <x:v>Awaiting Census evidence</x:v>
      </x:c>
      <x:c r="M28" s="64" t="str"/>
      <x:c r="N28" s="65" t="str"/>
    </x:row>
    <x:row r="29" ht="46" customHeight="1">
      <x:c r="A29" s="36" t="str">
        <x:v>DOS-023</x:v>
      </x:c>
      <x:c r="B29" s="37" t="str">
        <x:v>Teaching AI + Cell Phones / AI Schoolhouse</x:v>
      </x:c>
      <x:c r="C29" s="37" t="str">
        <x:v>First Wave</x:v>
      </x:c>
      <x:c r="D29" s="37" t="str">
        <x:v>Direct Census comparison</x:v>
      </x:c>
      <x:c r="E29" s="75" t="n">
        <x:f>COUNTIFS('Requirement Map'!$A$7:$A$1051,A29,'Requirement Map'!$E$7:$E$1051,"Must")</x:f>
        <x:v>5</x:v>
      </x:c>
      <x:c r="F29" s="75" t="n">
        <x:f>COUNTIFS('Requirement Map'!$A$7:$A$1051,A29,'Requirement Map'!$E$7:$E$1051,"Important")</x:f>
        <x:v>6</x:v>
      </x:c>
      <x:c r="G29" s="75" t="n">
        <x:f>COUNTIFS('Requirement Map'!$A$7:$A$1051,A29,'Requirement Map'!$E$7:$E$1051,"Expansion")</x:f>
        <x:v>4</x:v>
      </x:c>
      <x:c r="H29" s="37" t="str">
        <x:v>DOS-023 | Must FAM IDs</x:v>
      </x:c>
      <x:c r="I29" s="37" t="str">
        <x:v>DOS-023 | Must + Important FAM IDs</x:v>
      </x:c>
      <x:c r="J29" s="37" t="str">
        <x:f>IF(E29=0,"BLOCKED — no Must profile","READY — compare with Census Platform Facts / Coverage")</x:f>
        <x:v>READY — compare with Census Platform Facts / Coverage</x:v>
      </x:c>
      <x:c r="K29" s="64" t="str">
        <x:v>Awaiting Census evidence</x:v>
      </x:c>
      <x:c r="L29" s="64" t="str">
        <x:v>Awaiting Census evidence</x:v>
      </x:c>
      <x:c r="M29" s="64" t="str"/>
      <x:c r="N29" s="65" t="str"/>
    </x:row>
    <x:row r="30" ht="46" customHeight="1">
      <x:c r="A30" s="36" t="str">
        <x:v>DOS-024</x:v>
      </x:c>
      <x:c r="B30" s="37" t="str">
        <x:v>The Literalizer / Bullshit X-Ray</x:v>
      </x:c>
      <x:c r="C30" s="37" t="str">
        <x:v>First Wave</x:v>
      </x:c>
      <x:c r="D30" s="37" t="str">
        <x:v>Direct Census comparison</x:v>
      </x:c>
      <x:c r="E30" s="75" t="n">
        <x:f>COUNTIFS('Requirement Map'!$A$7:$A$1051,A30,'Requirement Map'!$E$7:$E$1051,"Must")</x:f>
        <x:v>7</x:v>
      </x:c>
      <x:c r="F30" s="75" t="n">
        <x:f>COUNTIFS('Requirement Map'!$A$7:$A$1051,A30,'Requirement Map'!$E$7:$E$1051,"Important")</x:f>
        <x:v>8</x:v>
      </x:c>
      <x:c r="G30" s="75" t="n">
        <x:f>COUNTIFS('Requirement Map'!$A$7:$A$1051,A30,'Requirement Map'!$E$7:$E$1051,"Expansion")</x:f>
        <x:v>4</x:v>
      </x:c>
      <x:c r="H30" s="37" t="str">
        <x:v>DOS-024 | Must FAM IDs</x:v>
      </x:c>
      <x:c r="I30" s="37" t="str">
        <x:v>DOS-024 | Must + Important FAM IDs</x:v>
      </x:c>
      <x:c r="J30" s="37" t="str">
        <x:f>IF(E30=0,"BLOCKED — no Must profile","READY — compare with Census Platform Facts / Coverage")</x:f>
        <x:v>READY — compare with Census Platform Facts / Coverage</x:v>
      </x:c>
      <x:c r="K30" s="64" t="str">
        <x:v>Awaiting Census evidence</x:v>
      </x:c>
      <x:c r="L30" s="64" t="str">
        <x:v>Awaiting Census evidence</x:v>
      </x:c>
      <x:c r="M30" s="64" t="str"/>
      <x:c r="N30" s="65" t="str"/>
    </x:row>
    <x:row r="31" ht="46" customHeight="1">
      <x:c r="A31" s="36" t="str">
        <x:v>DOS-025</x:v>
      </x:c>
      <x:c r="B31" s="37" t="str">
        <x:v>Community Outreach Platform</x:v>
      </x:c>
      <x:c r="C31" s="37" t="str">
        <x:v>First Wave</x:v>
      </x:c>
      <x:c r="D31" s="37" t="str">
        <x:v>Direct Census comparison</x:v>
      </x:c>
      <x:c r="E31" s="75" t="n">
        <x:f>COUNTIFS('Requirement Map'!$A$7:$A$1051,A31,'Requirement Map'!$E$7:$E$1051,"Must")</x:f>
        <x:v>8</x:v>
      </x:c>
      <x:c r="F31" s="75" t="n">
        <x:f>COUNTIFS('Requirement Map'!$A$7:$A$1051,A31,'Requirement Map'!$E$7:$E$1051,"Important")</x:f>
        <x:v>9</x:v>
      </x:c>
      <x:c r="G31" s="75" t="n">
        <x:f>COUNTIFS('Requirement Map'!$A$7:$A$1051,A31,'Requirement Map'!$E$7:$E$1051,"Expansion")</x:f>
        <x:v>4</x:v>
      </x:c>
      <x:c r="H31" s="37" t="str">
        <x:v>DOS-025 | Must FAM IDs</x:v>
      </x:c>
      <x:c r="I31" s="37" t="str">
        <x:v>DOS-025 | Must + Important FAM IDs</x:v>
      </x:c>
      <x:c r="J31" s="37" t="str">
        <x:f>IF(E31=0,"BLOCKED — no Must profile","READY — compare with Census Platform Facts / Coverage")</x:f>
        <x:v>READY — compare with Census Platform Facts / Coverage</x:v>
      </x:c>
      <x:c r="K31" s="64" t="str">
        <x:v>Awaiting Census evidence</x:v>
      </x:c>
      <x:c r="L31" s="64" t="str">
        <x:v>Awaiting Census evidence</x:v>
      </x:c>
      <x:c r="M31" s="64" t="str"/>
      <x:c r="N31" s="65" t="str"/>
    </x:row>
    <x:row r="32" ht="46" customHeight="1">
      <x:c r="A32" s="36" t="str">
        <x:v>DOS-026</x:v>
      </x:c>
      <x:c r="B32" s="37" t="str">
        <x:v>Wedding Disposable Camera</x:v>
      </x:c>
      <x:c r="C32" s="37" t="str">
        <x:v>First Wave</x:v>
      </x:c>
      <x:c r="D32" s="37" t="str">
        <x:v>Direct Census comparison</x:v>
      </x:c>
      <x:c r="E32" s="75" t="n">
        <x:f>COUNTIFS('Requirement Map'!$A$7:$A$1051,A32,'Requirement Map'!$E$7:$E$1051,"Must")</x:f>
        <x:v>7</x:v>
      </x:c>
      <x:c r="F32" s="75" t="n">
        <x:f>COUNTIFS('Requirement Map'!$A$7:$A$1051,A32,'Requirement Map'!$E$7:$E$1051,"Important")</x:f>
        <x:v>7</x:v>
      </x:c>
      <x:c r="G32" s="75" t="n">
        <x:f>COUNTIFS('Requirement Map'!$A$7:$A$1051,A32,'Requirement Map'!$E$7:$E$1051,"Expansion")</x:f>
        <x:v>4</x:v>
      </x:c>
      <x:c r="H32" s="37" t="str">
        <x:v>DOS-026 | Must FAM IDs</x:v>
      </x:c>
      <x:c r="I32" s="37" t="str">
        <x:v>DOS-026 | Must + Important FAM IDs</x:v>
      </x:c>
      <x:c r="J32" s="37" t="str">
        <x:f>IF(E32=0,"BLOCKED — no Must profile","READY — compare with Census Platform Facts / Coverage")</x:f>
        <x:v>READY — compare with Census Platform Facts / Coverage</x:v>
      </x:c>
      <x:c r="K32" s="64" t="str">
        <x:v>Awaiting Census evidence</x:v>
      </x:c>
      <x:c r="L32" s="64" t="str">
        <x:v>Awaiting Census evidence</x:v>
      </x:c>
      <x:c r="M32" s="64" t="str"/>
      <x:c r="N32" s="65" t="str"/>
    </x:row>
    <x:row r="33" ht="46" customHeight="1">
      <x:c r="A33" s="36" t="str">
        <x:v>DOS-027</x:v>
      </x:c>
      <x:c r="B33" s="37" t="str">
        <x:v>Amateur AI Cinema &amp; Film Festival</x:v>
      </x:c>
      <x:c r="C33" s="37" t="str">
        <x:v>Expansion</x:v>
      </x:c>
      <x:c r="D33" s="37" t="str">
        <x:v>Direct Census comparison</x:v>
      </x:c>
      <x:c r="E33" s="75" t="n">
        <x:f>COUNTIFS('Requirement Map'!$A$7:$A$1051,A33,'Requirement Map'!$E$7:$E$1051,"Must")</x:f>
        <x:v>9</x:v>
      </x:c>
      <x:c r="F33" s="75" t="n">
        <x:f>COUNTIFS('Requirement Map'!$A$7:$A$1051,A33,'Requirement Map'!$E$7:$E$1051,"Important")</x:f>
        <x:v>8</x:v>
      </x:c>
      <x:c r="G33" s="75" t="n">
        <x:f>COUNTIFS('Requirement Map'!$A$7:$A$1051,A33,'Requirement Map'!$E$7:$E$1051,"Expansion")</x:f>
        <x:v>5</x:v>
      </x:c>
      <x:c r="H33" s="37" t="str">
        <x:v>DOS-027 | Must FAM IDs</x:v>
      </x:c>
      <x:c r="I33" s="37" t="str">
        <x:v>DOS-027 | Must + Important FAM IDs</x:v>
      </x:c>
      <x:c r="J33" s="37" t="str">
        <x:f>IF(E33=0,"BLOCKED — no Must profile","READY — compare with Census Platform Facts / Coverage")</x:f>
        <x:v>READY — compare with Census Platform Facts / Coverage</x:v>
      </x:c>
      <x:c r="K33" s="64" t="str">
        <x:v>Awaiting Census evidence</x:v>
      </x:c>
      <x:c r="L33" s="64" t="str">
        <x:v>Awaiting Census evidence</x:v>
      </x:c>
      <x:c r="M33" s="64" t="str"/>
      <x:c r="N33" s="65" t="str"/>
    </x:row>
    <x:row r="34" ht="46" customHeight="1">
      <x:c r="A34" s="36" t="str">
        <x:v>DOS-028</x:v>
      </x:c>
      <x:c r="B34" s="37" t="str">
        <x:v>UFO / UAP Reporting Platform</x:v>
      </x:c>
      <x:c r="C34" s="37" t="str">
        <x:v>Needs Definition</x:v>
      </x:c>
      <x:c r="D34" s="37" t="str">
        <x:v>Direct Census comparison</x:v>
      </x:c>
      <x:c r="E34" s="75" t="n">
        <x:f>COUNTIFS('Requirement Map'!$A$7:$A$1051,A34,'Requirement Map'!$E$7:$E$1051,"Must")</x:f>
        <x:v>8</x:v>
      </x:c>
      <x:c r="F34" s="75" t="n">
        <x:f>COUNTIFS('Requirement Map'!$A$7:$A$1051,A34,'Requirement Map'!$E$7:$E$1051,"Important")</x:f>
        <x:v>9</x:v>
      </x:c>
      <x:c r="G34" s="75" t="n">
        <x:f>COUNTIFS('Requirement Map'!$A$7:$A$1051,A34,'Requirement Map'!$E$7:$E$1051,"Expansion")</x:f>
        <x:v>4</x:v>
      </x:c>
      <x:c r="H34" s="37" t="str">
        <x:v>DOS-028 | Must FAM IDs</x:v>
      </x:c>
      <x:c r="I34" s="37" t="str">
        <x:v>DOS-028 | Must + Important FAM IDs</x:v>
      </x:c>
      <x:c r="J34" s="37" t="str">
        <x:f>IF(E34=0,"BLOCKED — no Must profile","READY — compare with Census Platform Facts / Coverage")</x:f>
        <x:v>READY — compare with Census Platform Facts / Coverage</x:v>
      </x:c>
      <x:c r="K34" s="64" t="str">
        <x:v>Awaiting Census evidence</x:v>
      </x:c>
      <x:c r="L34" s="64" t="str">
        <x:v>Awaiting Census evidence</x:v>
      </x:c>
      <x:c r="M34" s="64" t="str"/>
      <x:c r="N34" s="65" t="str"/>
    </x:row>
    <x:row r="35" ht="46" customHeight="1">
      <x:c r="A35" s="36" t="str">
        <x:v>DOS-029</x:v>
      </x:c>
      <x:c r="B35" s="37" t="str">
        <x:v>Single-Trip Roadside Assistance</x:v>
      </x:c>
      <x:c r="C35" s="37" t="str">
        <x:v>Needs Definition</x:v>
      </x:c>
      <x:c r="D35" s="37" t="str">
        <x:v>Direct Census comparison</x:v>
      </x:c>
      <x:c r="E35" s="75" t="n">
        <x:f>COUNTIFS('Requirement Map'!$A$7:$A$1051,A35,'Requirement Map'!$E$7:$E$1051,"Must")</x:f>
        <x:v>4</x:v>
      </x:c>
      <x:c r="F35" s="75" t="n">
        <x:f>COUNTIFS('Requirement Map'!$A$7:$A$1051,A35,'Requirement Map'!$E$7:$E$1051,"Important")</x:f>
        <x:v>5</x:v>
      </x:c>
      <x:c r="G35" s="75" t="n">
        <x:f>COUNTIFS('Requirement Map'!$A$7:$A$1051,A35,'Requirement Map'!$E$7:$E$1051,"Expansion")</x:f>
        <x:v>4</x:v>
      </x:c>
      <x:c r="H35" s="37" t="str">
        <x:v>DOS-029 | Must FAM IDs</x:v>
      </x:c>
      <x:c r="I35" s="37" t="str">
        <x:v>DOS-029 | Must + Important FAM IDs</x:v>
      </x:c>
      <x:c r="J35" s="37" t="str">
        <x:f>IF(E35=0,"BLOCKED — no Must profile","READY — compare with Census Platform Facts / Coverage")</x:f>
        <x:v>READY — compare with Census Platform Facts / Coverage</x:v>
      </x:c>
      <x:c r="K35" s="64" t="str">
        <x:v>Awaiting Census evidence</x:v>
      </x:c>
      <x:c r="L35" s="64" t="str">
        <x:v>Awaiting Census evidence</x:v>
      </x:c>
      <x:c r="M35" s="64" t="str"/>
      <x:c r="N35" s="65" t="str"/>
    </x:row>
    <x:row r="36" ht="46" customHeight="1">
      <x:c r="A36" s="36" t="str">
        <x:v>DOS-030</x:v>
      </x:c>
      <x:c r="B36" s="37" t="str">
        <x:v>A-Guy Roofing Gateway</x:v>
      </x:c>
      <x:c r="C36" s="37" t="str">
        <x:v>First Wave</x:v>
      </x:c>
      <x:c r="D36" s="37" t="str">
        <x:v>Direct Census comparison</x:v>
      </x:c>
      <x:c r="E36" s="75" t="n">
        <x:f>COUNTIFS('Requirement Map'!$A$7:$A$1051,A36,'Requirement Map'!$E$7:$E$1051,"Must")</x:f>
        <x:v>5</x:v>
      </x:c>
      <x:c r="F36" s="75" t="n">
        <x:f>COUNTIFS('Requirement Map'!$A$7:$A$1051,A36,'Requirement Map'!$E$7:$E$1051,"Important")</x:f>
        <x:v>6</x:v>
      </x:c>
      <x:c r="G36" s="75" t="n">
        <x:f>COUNTIFS('Requirement Map'!$A$7:$A$1051,A36,'Requirement Map'!$E$7:$E$1051,"Expansion")</x:f>
        <x:v>4</x:v>
      </x:c>
      <x:c r="H36" s="37" t="str">
        <x:v>DOS-030 | Must FAM IDs</x:v>
      </x:c>
      <x:c r="I36" s="37" t="str">
        <x:v>DOS-030 | Must + Important FAM IDs</x:v>
      </x:c>
      <x:c r="J36" s="37" t="str">
        <x:f>IF(E36=0,"BLOCKED — no Must profile","READY — compare with Census Platform Facts / Coverage")</x:f>
        <x:v>READY — compare with Census Platform Facts / Coverage</x:v>
      </x:c>
      <x:c r="K36" s="64" t="str">
        <x:v>Awaiting Census evidence</x:v>
      </x:c>
      <x:c r="L36" s="64" t="str">
        <x:v>Awaiting Census evidence</x:v>
      </x:c>
      <x:c r="M36" s="64" t="str"/>
      <x:c r="N36" s="65" t="str"/>
    </x:row>
    <x:row r="37" ht="46" customHeight="1">
      <x:c r="A37" s="36" t="str">
        <x:v>DOS-031</x:v>
      </x:c>
      <x:c r="B37" s="37" t="str">
        <x:v>QuoteCraft AI</x:v>
      </x:c>
      <x:c r="C37" s="37" t="str">
        <x:v>Needs Definition</x:v>
      </x:c>
      <x:c r="D37" s="37" t="str">
        <x:v>Direct Census comparison</x:v>
      </x:c>
      <x:c r="E37" s="75" t="n">
        <x:f>COUNTIFS('Requirement Map'!$A$7:$A$1051,A37,'Requirement Map'!$E$7:$E$1051,"Must")</x:f>
        <x:v>7</x:v>
      </x:c>
      <x:c r="F37" s="75" t="n">
        <x:f>COUNTIFS('Requirement Map'!$A$7:$A$1051,A37,'Requirement Map'!$E$7:$E$1051,"Important")</x:f>
        <x:v>8</x:v>
      </x:c>
      <x:c r="G37" s="75" t="n">
        <x:f>COUNTIFS('Requirement Map'!$A$7:$A$1051,A37,'Requirement Map'!$E$7:$E$1051,"Expansion")</x:f>
        <x:v>4</x:v>
      </x:c>
      <x:c r="H37" s="37" t="str">
        <x:v>DOS-031 | Must FAM IDs</x:v>
      </x:c>
      <x:c r="I37" s="37" t="str">
        <x:v>DOS-031 | Must + Important FAM IDs</x:v>
      </x:c>
      <x:c r="J37" s="37" t="str">
        <x:f>IF(E37=0,"BLOCKED — no Must profile","READY — compare with Census Platform Facts / Coverage")</x:f>
        <x:v>READY — compare with Census Platform Facts / Coverage</x:v>
      </x:c>
      <x:c r="K37" s="64" t="str">
        <x:v>Awaiting Census evidence</x:v>
      </x:c>
      <x:c r="L37" s="64" t="str">
        <x:v>Awaiting Census evidence</x:v>
      </x:c>
      <x:c r="M37" s="64" t="str"/>
      <x:c r="N37" s="65" t="str"/>
    </x:row>
    <x:row r="38" ht="46" customHeight="1">
      <x:c r="A38" s="36" t="str">
        <x:v>DOS-032</x:v>
      </x:c>
      <x:c r="B38" s="37" t="str">
        <x:v>Microtool Studio &amp; Split-Screen Companions</x:v>
      </x:c>
      <x:c r="C38" s="37" t="str">
        <x:v>Expansion</x:v>
      </x:c>
      <x:c r="D38" s="37" t="str">
        <x:v>Direct Census comparison</x:v>
      </x:c>
      <x:c r="E38" s="75" t="n">
        <x:f>COUNTIFS('Requirement Map'!$A$7:$A$1051,A38,'Requirement Map'!$E$7:$E$1051,"Must")</x:f>
        <x:v>9</x:v>
      </x:c>
      <x:c r="F38" s="75" t="n">
        <x:f>COUNTIFS('Requirement Map'!$A$7:$A$1051,A38,'Requirement Map'!$E$7:$E$1051,"Important")</x:f>
        <x:v>8</x:v>
      </x:c>
      <x:c r="G38" s="75" t="n">
        <x:f>COUNTIFS('Requirement Map'!$A$7:$A$1051,A38,'Requirement Map'!$E$7:$E$1051,"Expansion")</x:f>
        <x:v>5</x:v>
      </x:c>
      <x:c r="H38" s="37" t="str">
        <x:v>DOS-032 | Must FAM IDs</x:v>
      </x:c>
      <x:c r="I38" s="37" t="str">
        <x:v>DOS-032 | Must + Important FAM IDs</x:v>
      </x:c>
      <x:c r="J38" s="37" t="str">
        <x:f>IF(E38=0,"BLOCKED — no Must profile","READY — compare with Census Platform Facts / Coverage")</x:f>
        <x:v>READY — compare with Census Platform Facts / Coverage</x:v>
      </x:c>
      <x:c r="K38" s="64" t="str">
        <x:v>Awaiting Census evidence</x:v>
      </x:c>
      <x:c r="L38" s="64" t="str">
        <x:v>Awaiting Census evidence</x:v>
      </x:c>
      <x:c r="M38" s="64" t="str"/>
      <x:c r="N38" s="65" t="str"/>
    </x:row>
    <x:row r="39" ht="46" customHeight="1">
      <x:c r="A39" s="36" t="str">
        <x:v>DOS-033</x:v>
      </x:c>
      <x:c r="B39" s="37" t="str">
        <x:v>Smart Strap Kit &amp; Modular Backpack</x:v>
      </x:c>
      <x:c r="C39" s="37" t="str">
        <x:v>First Wave</x:v>
      </x:c>
      <x:c r="D39" s="37" t="str">
        <x:v>Supporting website / commerce route</x:v>
      </x:c>
      <x:c r="E39" s="75" t="n">
        <x:f>COUNTIFS('Requirement Map'!$A$7:$A$1051,A39,'Requirement Map'!$E$7:$E$1051,"Must")</x:f>
        <x:v>6</x:v>
      </x:c>
      <x:c r="F39" s="75" t="n">
        <x:f>COUNTIFS('Requirement Map'!$A$7:$A$1051,A39,'Requirement Map'!$E$7:$E$1051,"Important")</x:f>
        <x:v>5</x:v>
      </x:c>
      <x:c r="G39" s="75" t="n">
        <x:f>COUNTIFS('Requirement Map'!$A$7:$A$1051,A39,'Requirement Map'!$E$7:$E$1051,"Expansion")</x:f>
        <x:v>5</x:v>
      </x:c>
      <x:c r="H39" s="37" t="str">
        <x:v>DOS-033 | Must FAM IDs</x:v>
      </x:c>
      <x:c r="I39" s="37" t="str">
        <x:v>DOS-033 | Must + Important FAM IDs</x:v>
      </x:c>
      <x:c r="J39" s="37" t="str">
        <x:f>IF(E39=0,"BLOCKED — no Must profile","READY — compare with Census Platform Facts / Coverage")</x:f>
        <x:v>READY — compare with Census Platform Facts / Coverage</x:v>
      </x:c>
      <x:c r="K39" s="64" t="str">
        <x:v>Awaiting Census evidence</x:v>
      </x:c>
      <x:c r="L39" s="64" t="str">
        <x:v>Awaiting Census evidence</x:v>
      </x:c>
      <x:c r="M39" s="64" t="str"/>
      <x:c r="N39" s="65" t="str"/>
    </x:row>
    <x:row r="40" ht="46" customHeight="1">
      <x:c r="A40" s="36" t="str">
        <x:v>DOS-034</x:v>
      </x:c>
      <x:c r="B40" s="37" t="str">
        <x:v>Serenity Pits / Serenity Pods</x:v>
      </x:c>
      <x:c r="C40" s="37" t="str">
        <x:v>Needs Definition</x:v>
      </x:c>
      <x:c r="D40" s="37" t="str">
        <x:v>Supporting website / commerce route</x:v>
      </x:c>
      <x:c r="E40" s="75" t="n">
        <x:f>COUNTIFS('Requirement Map'!$A$7:$A$1051,A40,'Requirement Map'!$E$7:$E$1051,"Must")</x:f>
        <x:v>6</x:v>
      </x:c>
      <x:c r="F40" s="75" t="n">
        <x:f>COUNTIFS('Requirement Map'!$A$7:$A$1051,A40,'Requirement Map'!$E$7:$E$1051,"Important")</x:f>
        <x:v>5</x:v>
      </x:c>
      <x:c r="G40" s="75" t="n">
        <x:f>COUNTIFS('Requirement Map'!$A$7:$A$1051,A40,'Requirement Map'!$E$7:$E$1051,"Expansion")</x:f>
        <x:v>5</x:v>
      </x:c>
      <x:c r="H40" s="37" t="str">
        <x:v>DOS-034 | Must FAM IDs</x:v>
      </x:c>
      <x:c r="I40" s="37" t="str">
        <x:v>DOS-034 | Must + Important FAM IDs</x:v>
      </x:c>
      <x:c r="J40" s="37" t="str">
        <x:f>IF(E40=0,"BLOCKED — no Must profile","READY — compare with Census Platform Facts / Coverage")</x:f>
        <x:v>READY — compare with Census Platform Facts / Coverage</x:v>
      </x:c>
      <x:c r="K40" s="64" t="str">
        <x:v>Awaiting Census evidence</x:v>
      </x:c>
      <x:c r="L40" s="64" t="str">
        <x:v>Awaiting Census evidence</x:v>
      </x:c>
      <x:c r="M40" s="64" t="str"/>
      <x:c r="N40" s="65" t="str"/>
    </x:row>
    <x:row r="41" ht="46" customHeight="1">
      <x:c r="A41" s="36" t="str">
        <x:v>DOS-035</x:v>
      </x:c>
      <x:c r="B41" s="37" t="str">
        <x:v>AmazeBallsDeep</x:v>
      </x:c>
      <x:c r="C41" s="37" t="str">
        <x:v>First Wave</x:v>
      </x:c>
      <x:c r="D41" s="37" t="str">
        <x:v>Supporting website / commerce route</x:v>
      </x:c>
      <x:c r="E41" s="75" t="n">
        <x:f>COUNTIFS('Requirement Map'!$A$7:$A$1051,A41,'Requirement Map'!$E$7:$E$1051,"Must")</x:f>
        <x:v>7</x:v>
      </x:c>
      <x:c r="F41" s="75" t="n">
        <x:f>COUNTIFS('Requirement Map'!$A$7:$A$1051,A41,'Requirement Map'!$E$7:$E$1051,"Important")</x:f>
        <x:v>7</x:v>
      </x:c>
      <x:c r="G41" s="75" t="n">
        <x:f>COUNTIFS('Requirement Map'!$A$7:$A$1051,A41,'Requirement Map'!$E$7:$E$1051,"Expansion")</x:f>
        <x:v>4</x:v>
      </x:c>
      <x:c r="H41" s="37" t="str">
        <x:v>DOS-035 | Must FAM IDs</x:v>
      </x:c>
      <x:c r="I41" s="37" t="str">
        <x:v>DOS-035 | Must + Important FAM IDs</x:v>
      </x:c>
      <x:c r="J41" s="37" t="str">
        <x:f>IF(E41=0,"BLOCKED — no Must profile","READY — compare with Census Platform Facts / Coverage")</x:f>
        <x:v>READY — compare with Census Platform Facts / Coverage</x:v>
      </x:c>
      <x:c r="K41" s="64" t="str">
        <x:v>Awaiting Census evidence</x:v>
      </x:c>
      <x:c r="L41" s="64" t="str">
        <x:v>Awaiting Census evidence</x:v>
      </x:c>
      <x:c r="M41" s="64" t="str"/>
      <x:c r="N41" s="65" t="str"/>
    </x:row>
    <x:row r="42" ht="46" customHeight="1">
      <x:c r="A42" s="36" t="str">
        <x:v>DOS-036</x:v>
      </x:c>
      <x:c r="B42" s="37" t="str">
        <x:v>Doggy Styles</x:v>
      </x:c>
      <x:c r="C42" s="37" t="str">
        <x:v>First Wave</x:v>
      </x:c>
      <x:c r="D42" s="37" t="str">
        <x:v>Supporting website / commerce route</x:v>
      </x:c>
      <x:c r="E42" s="75" t="n">
        <x:f>COUNTIFS('Requirement Map'!$A$7:$A$1051,A42,'Requirement Map'!$E$7:$E$1051,"Must")</x:f>
        <x:v>7</x:v>
      </x:c>
      <x:c r="F42" s="75" t="n">
        <x:f>COUNTIFS('Requirement Map'!$A$7:$A$1051,A42,'Requirement Map'!$E$7:$E$1051,"Important")</x:f>
        <x:v>7</x:v>
      </x:c>
      <x:c r="G42" s="75" t="n">
        <x:f>COUNTIFS('Requirement Map'!$A$7:$A$1051,A42,'Requirement Map'!$E$7:$E$1051,"Expansion")</x:f>
        <x:v>4</x:v>
      </x:c>
      <x:c r="H42" s="37" t="str">
        <x:v>DOS-036 | Must FAM IDs</x:v>
      </x:c>
      <x:c r="I42" s="37" t="str">
        <x:v>DOS-036 | Must + Important FAM IDs</x:v>
      </x:c>
      <x:c r="J42" s="37" t="str">
        <x:f>IF(E42=0,"BLOCKED — no Must profile","READY — compare with Census Platform Facts / Coverage")</x:f>
        <x:v>READY — compare with Census Platform Facts / Coverage</x:v>
      </x:c>
      <x:c r="K42" s="64" t="str">
        <x:v>Awaiting Census evidence</x:v>
      </x:c>
      <x:c r="L42" s="64" t="str">
        <x:v>Awaiting Census evidence</x:v>
      </x:c>
      <x:c r="M42" s="64" t="str"/>
      <x:c r="N42" s="65" t="str"/>
    </x:row>
    <x:row r="43" ht="46" customHeight="1">
      <x:c r="A43" s="36" t="str">
        <x:v>DOS-037</x:v>
      </x:c>
      <x:c r="B43" s="37" t="str">
        <x:v>ZAFtastic Community Hub / Life Hub</x:v>
      </x:c>
      <x:c r="C43" s="37" t="str">
        <x:v>Long-Horizon</x:v>
      </x:c>
      <x:c r="D43" s="37" t="str">
        <x:v>Supporting website / commerce route</x:v>
      </x:c>
      <x:c r="E43" s="75" t="n">
        <x:f>COUNTIFS('Requirement Map'!$A$7:$A$1051,A43,'Requirement Map'!$E$7:$E$1051,"Must")</x:f>
        <x:v>4</x:v>
      </x:c>
      <x:c r="F43" s="75" t="n">
        <x:f>COUNTIFS('Requirement Map'!$A$7:$A$1051,A43,'Requirement Map'!$E$7:$E$1051,"Important")</x:f>
        <x:v>5</x:v>
      </x:c>
      <x:c r="G43" s="75" t="n">
        <x:f>COUNTIFS('Requirement Map'!$A$7:$A$1051,A43,'Requirement Map'!$E$7:$E$1051,"Expansion")</x:f>
        <x:v>4</x:v>
      </x:c>
      <x:c r="H43" s="37" t="str">
        <x:v>DOS-037 | Must FAM IDs</x:v>
      </x:c>
      <x:c r="I43" s="37" t="str">
        <x:v>DOS-037 | Must + Important FAM IDs</x:v>
      </x:c>
      <x:c r="J43" s="37" t="str">
        <x:f>IF(E43=0,"BLOCKED — no Must profile","READY — compare with Census Platform Facts / Coverage")</x:f>
        <x:v>READY — compare with Census Platform Facts / Coverage</x:v>
      </x:c>
      <x:c r="K43" s="64" t="str">
        <x:v>Awaiting Census evidence</x:v>
      </x:c>
      <x:c r="L43" s="64" t="str">
        <x:v>Awaiting Census evidence</x:v>
      </x:c>
      <x:c r="M43" s="64" t="str"/>
      <x:c r="N43" s="65" t="str"/>
    </x:row>
    <x:row r="44" ht="46" customHeight="1">
      <x:c r="A44" s="36" t="str">
        <x:v>DOS-038</x:v>
      </x:c>
      <x:c r="B44" s="37" t="str">
        <x:v>Karaoke Dating</x:v>
      </x:c>
      <x:c r="C44" s="37" t="str">
        <x:v>Needs Definition</x:v>
      </x:c>
      <x:c r="D44" s="37" t="str">
        <x:v>Direct Census comparison</x:v>
      </x:c>
      <x:c r="E44" s="75" t="n">
        <x:f>COUNTIFS('Requirement Map'!$A$7:$A$1051,A44,'Requirement Map'!$E$7:$E$1051,"Must")</x:f>
        <x:v>4</x:v>
      </x:c>
      <x:c r="F44" s="75" t="n">
        <x:f>COUNTIFS('Requirement Map'!$A$7:$A$1051,A44,'Requirement Map'!$E$7:$E$1051,"Important")</x:f>
        <x:v>5</x:v>
      </x:c>
      <x:c r="G44" s="75" t="n">
        <x:f>COUNTIFS('Requirement Map'!$A$7:$A$1051,A44,'Requirement Map'!$E$7:$E$1051,"Expansion")</x:f>
        <x:v>4</x:v>
      </x:c>
      <x:c r="H44" s="37" t="str">
        <x:v>DOS-038 | Must FAM IDs</x:v>
      </x:c>
      <x:c r="I44" s="37" t="str">
        <x:v>DOS-038 | Must + Important FAM IDs</x:v>
      </x:c>
      <x:c r="J44" s="37" t="str">
        <x:f>IF(E44=0,"BLOCKED — no Must profile","READY — compare with Census Platform Facts / Coverage")</x:f>
        <x:v>READY — compare with Census Platform Facts / Coverage</x:v>
      </x:c>
      <x:c r="K44" s="64" t="str">
        <x:v>Awaiting Census evidence</x:v>
      </x:c>
      <x:c r="L44" s="64" t="str">
        <x:v>Awaiting Census evidence</x:v>
      </x:c>
      <x:c r="M44" s="64" t="str"/>
      <x:c r="N44" s="65" t="str"/>
    </x:row>
    <x:row r="45" ht="46" customHeight="1">
      <x:c r="A45" s="36" t="str">
        <x:v>DOS-039</x:v>
      </x:c>
      <x:c r="B45" s="37" t="str">
        <x:v>ZAF Shared Platform Foundation</x:v>
      </x:c>
      <x:c r="C45" s="37" t="str">
        <x:v>Expansion</x:v>
      </x:c>
      <x:c r="D45" s="37" t="str">
        <x:v>Direct Census comparison</x:v>
      </x:c>
      <x:c r="E45" s="75" t="n">
        <x:f>COUNTIFS('Requirement Map'!$A$7:$A$1051,A45,'Requirement Map'!$E$7:$E$1051,"Must")</x:f>
        <x:v>7</x:v>
      </x:c>
      <x:c r="F45" s="75" t="n">
        <x:f>COUNTIFS('Requirement Map'!$A$7:$A$1051,A45,'Requirement Map'!$E$7:$E$1051,"Important")</x:f>
        <x:v>9</x:v>
      </x:c>
      <x:c r="G45" s="75" t="n">
        <x:f>COUNTIFS('Requirement Map'!$A$7:$A$1051,A45,'Requirement Map'!$E$7:$E$1051,"Expansion")</x:f>
        <x:v>4</x:v>
      </x:c>
      <x:c r="H45" s="37" t="str">
        <x:v>DOS-039 | Must FAM IDs</x:v>
      </x:c>
      <x:c r="I45" s="37" t="str">
        <x:v>DOS-039 | Must + Important FAM IDs</x:v>
      </x:c>
      <x:c r="J45" s="37" t="str">
        <x:f>IF(E45=0,"BLOCKED — no Must profile","READY — compare with Census Platform Facts / Coverage")</x:f>
        <x:v>READY — compare with Census Platform Facts / Coverage</x:v>
      </x:c>
      <x:c r="K45" s="64" t="str">
        <x:v>Awaiting Census evidence</x:v>
      </x:c>
      <x:c r="L45" s="64" t="str">
        <x:v>Awaiting Census evidence</x:v>
      </x:c>
      <x:c r="M45" s="64" t="str"/>
      <x:c r="N45" s="65" t="str"/>
    </x:row>
    <x:row r="46" ht="46" customHeight="1">
      <x:c r="A46" s="36" t="str">
        <x:v>DOS-040</x:v>
      </x:c>
      <x:c r="B46" s="37" t="str">
        <x:v>ZAF Master Vault &amp; Compiler</x:v>
      </x:c>
      <x:c r="C46" s="37" t="str">
        <x:v>Expansion</x:v>
      </x:c>
      <x:c r="D46" s="37" t="str">
        <x:v>Direct Census comparison</x:v>
      </x:c>
      <x:c r="E46" s="75" t="n">
        <x:f>COUNTIFS('Requirement Map'!$A$7:$A$1051,A46,'Requirement Map'!$E$7:$E$1051,"Must")</x:f>
        <x:v>7</x:v>
      </x:c>
      <x:c r="F46" s="75" t="n">
        <x:f>COUNTIFS('Requirement Map'!$A$7:$A$1051,A46,'Requirement Map'!$E$7:$E$1051,"Important")</x:f>
        <x:v>9</x:v>
      </x:c>
      <x:c r="G46" s="75" t="n">
        <x:f>COUNTIFS('Requirement Map'!$A$7:$A$1051,A46,'Requirement Map'!$E$7:$E$1051,"Expansion")</x:f>
        <x:v>4</x:v>
      </x:c>
      <x:c r="H46" s="37" t="str">
        <x:v>DOS-040 | Must FAM IDs</x:v>
      </x:c>
      <x:c r="I46" s="37" t="str">
        <x:v>DOS-040 | Must + Important FAM IDs</x:v>
      </x:c>
      <x:c r="J46" s="37" t="str">
        <x:f>IF(E46=0,"BLOCKED — no Must profile","READY — compare with Census Platform Facts / Coverage")</x:f>
        <x:v>READY — compare with Census Platform Facts / Coverage</x:v>
      </x:c>
      <x:c r="K46" s="64" t="str">
        <x:v>Awaiting Census evidence</x:v>
      </x:c>
      <x:c r="L46" s="64" t="str">
        <x:v>Awaiting Census evidence</x:v>
      </x:c>
      <x:c r="M46" s="64" t="str"/>
      <x:c r="N46" s="65" t="str"/>
    </x:row>
    <x:row r="47" ht="46" customHeight="1">
      <x:c r="A47" s="36" t="str">
        <x:v>DOS-041</x:v>
      </x:c>
      <x:c r="B47" s="37" t="str">
        <x:v>ZAF Museum &amp; Source Archive</x:v>
      </x:c>
      <x:c r="C47" s="37" t="str">
        <x:v>Expansion</x:v>
      </x:c>
      <x:c r="D47" s="37" t="str">
        <x:v>Direct Census comparison</x:v>
      </x:c>
      <x:c r="E47" s="75" t="n">
        <x:f>COUNTIFS('Requirement Map'!$A$7:$A$1051,A47,'Requirement Map'!$E$7:$E$1051,"Must")</x:f>
        <x:v>7</x:v>
      </x:c>
      <x:c r="F47" s="75" t="n">
        <x:f>COUNTIFS('Requirement Map'!$A$7:$A$1051,A47,'Requirement Map'!$E$7:$E$1051,"Important")</x:f>
        <x:v>9</x:v>
      </x:c>
      <x:c r="G47" s="75" t="n">
        <x:f>COUNTIFS('Requirement Map'!$A$7:$A$1051,A47,'Requirement Map'!$E$7:$E$1051,"Expansion")</x:f>
        <x:v>4</x:v>
      </x:c>
      <x:c r="H47" s="37" t="str">
        <x:v>DOS-041 | Must FAM IDs</x:v>
      </x:c>
      <x:c r="I47" s="37" t="str">
        <x:v>DOS-041 | Must + Important FAM IDs</x:v>
      </x:c>
      <x:c r="J47" s="37" t="str">
        <x:f>IF(E47=0,"BLOCKED — no Must profile","READY — compare with Census Platform Facts / Coverage")</x:f>
        <x:v>READY — compare with Census Platform Facts / Coverage</x:v>
      </x:c>
      <x:c r="K47" s="64" t="str">
        <x:v>Awaiting Census evidence</x:v>
      </x:c>
      <x:c r="L47" s="64" t="str">
        <x:v>Awaiting Census evidence</x:v>
      </x:c>
      <x:c r="M47" s="64" t="str"/>
      <x:c r="N47" s="65" t="str"/>
    </x:row>
    <x:row r="48" ht="46" customHeight="1">
      <x:c r="A48" s="36" t="str">
        <x:v>DOS-042</x:v>
      </x:c>
      <x:c r="B48" s="37" t="str">
        <x:v>ZAF Strategy Council &amp; Builder Trials</x:v>
      </x:c>
      <x:c r="C48" s="37" t="str">
        <x:v>First Wave</x:v>
      </x:c>
      <x:c r="D48" s="37" t="str">
        <x:v>Direct Census comparison</x:v>
      </x:c>
      <x:c r="E48" s="75" t="n">
        <x:f>COUNTIFS('Requirement Map'!$A$7:$A$1051,A48,'Requirement Map'!$E$7:$E$1051,"Must")</x:f>
        <x:v>7</x:v>
      </x:c>
      <x:c r="F48" s="75" t="n">
        <x:f>COUNTIFS('Requirement Map'!$A$7:$A$1051,A48,'Requirement Map'!$E$7:$E$1051,"Important")</x:f>
        <x:v>9</x:v>
      </x:c>
      <x:c r="G48" s="75" t="n">
        <x:f>COUNTIFS('Requirement Map'!$A$7:$A$1051,A48,'Requirement Map'!$E$7:$E$1051,"Expansion")</x:f>
        <x:v>4</x:v>
      </x:c>
      <x:c r="H48" s="37" t="str">
        <x:v>DOS-042 | Must FAM IDs</x:v>
      </x:c>
      <x:c r="I48" s="37" t="str">
        <x:v>DOS-042 | Must + Important FAM IDs</x:v>
      </x:c>
      <x:c r="J48" s="37" t="str">
        <x:f>IF(E48=0,"BLOCKED — no Must profile","READY — compare with Census Platform Facts / Coverage")</x:f>
        <x:v>READY — compare with Census Platform Facts / Coverage</x:v>
      </x:c>
      <x:c r="K48" s="64" t="str">
        <x:v>Awaiting Census evidence</x:v>
      </x:c>
      <x:c r="L48" s="64" t="str">
        <x:v>Awaiting Census evidence</x:v>
      </x:c>
      <x:c r="M48" s="64" t="str"/>
      <x:c r="N48" s="65" t="str"/>
    </x:row>
    <x:row r="49" ht="46" customHeight="1">
      <x:c r="A49" s="36" t="str">
        <x:v>DOS-043</x:v>
      </x:c>
      <x:c r="B49" s="37" t="str">
        <x:v>Private 4-Dimensional Information Site</x:v>
      </x:c>
      <x:c r="C49" s="37" t="str">
        <x:v>Expansion</x:v>
      </x:c>
      <x:c r="D49" s="37" t="str">
        <x:v>Direct Census comparison</x:v>
      </x:c>
      <x:c r="E49" s="75" t="n">
        <x:f>COUNTIFS('Requirement Map'!$A$7:$A$1051,A49,'Requirement Map'!$E$7:$E$1051,"Must")</x:f>
        <x:v>7</x:v>
      </x:c>
      <x:c r="F49" s="75" t="n">
        <x:f>COUNTIFS('Requirement Map'!$A$7:$A$1051,A49,'Requirement Map'!$E$7:$E$1051,"Important")</x:f>
        <x:v>9</x:v>
      </x:c>
      <x:c r="G49" s="75" t="n">
        <x:f>COUNTIFS('Requirement Map'!$A$7:$A$1051,A49,'Requirement Map'!$E$7:$E$1051,"Expansion")</x:f>
        <x:v>4</x:v>
      </x:c>
      <x:c r="H49" s="37" t="str">
        <x:v>DOS-043 | Must FAM IDs</x:v>
      </x:c>
      <x:c r="I49" s="37" t="str">
        <x:v>DOS-043 | Must + Important FAM IDs</x:v>
      </x:c>
      <x:c r="J49" s="37" t="str">
        <x:f>IF(E49=0,"BLOCKED — no Must profile","READY — compare with Census Platform Facts / Coverage")</x:f>
        <x:v>READY — compare with Census Platform Facts / Coverage</x:v>
      </x:c>
      <x:c r="K49" s="64" t="str">
        <x:v>Awaiting Census evidence</x:v>
      </x:c>
      <x:c r="L49" s="64" t="str">
        <x:v>Awaiting Census evidence</x:v>
      </x:c>
      <x:c r="M49" s="64" t="str"/>
      <x:c r="N49" s="65" t="str"/>
    </x:row>
    <x:row r="50" ht="46" customHeight="1">
      <x:c r="A50" s="36" t="str">
        <x:v>DOS-044</x:v>
      </x:c>
      <x:c r="B50" s="37" t="str">
        <x:v>Customization Prompt Archive + Lab</x:v>
      </x:c>
      <x:c r="C50" s="37" t="str">
        <x:v>Expansion</x:v>
      </x:c>
      <x:c r="D50" s="37" t="str">
        <x:v>Direct Census comparison</x:v>
      </x:c>
      <x:c r="E50" s="75" t="n">
        <x:f>COUNTIFS('Requirement Map'!$A$7:$A$1051,A50,'Requirement Map'!$E$7:$E$1051,"Must")</x:f>
        <x:v>7</x:v>
      </x:c>
      <x:c r="F50" s="75" t="n">
        <x:f>COUNTIFS('Requirement Map'!$A$7:$A$1051,A50,'Requirement Map'!$E$7:$E$1051,"Important")</x:f>
        <x:v>7</x:v>
      </x:c>
      <x:c r="G50" s="75" t="n">
        <x:f>COUNTIFS('Requirement Map'!$A$7:$A$1051,A50,'Requirement Map'!$E$7:$E$1051,"Expansion")</x:f>
        <x:v>4</x:v>
      </x:c>
      <x:c r="H50" s="37" t="str">
        <x:v>DOS-044 | Must FAM IDs</x:v>
      </x:c>
      <x:c r="I50" s="37" t="str">
        <x:v>DOS-044 | Must + Important FAM IDs</x:v>
      </x:c>
      <x:c r="J50" s="37" t="str">
        <x:f>IF(E50=0,"BLOCKED — no Must profile","READY — compare with Census Platform Facts / Coverage")</x:f>
        <x:v>READY — compare with Census Platform Facts / Coverage</x:v>
      </x:c>
      <x:c r="K50" s="64" t="str">
        <x:v>Awaiting Census evidence</x:v>
      </x:c>
      <x:c r="L50" s="64" t="str">
        <x:v>Awaiting Census evidence</x:v>
      </x:c>
      <x:c r="M50" s="64" t="str"/>
      <x:c r="N50" s="65" t="str"/>
    </x:row>
    <x:row r="51" ht="46" customHeight="1">
      <x:c r="A51" s="36" t="str">
        <x:v>DOS-045</x:v>
      </x:c>
      <x:c r="B51" s="37" t="str">
        <x:v>ZAF Lessons, Workshops, Events, Forum + Blog</x:v>
      </x:c>
      <x:c r="C51" s="37" t="str">
        <x:v>Expansion</x:v>
      </x:c>
      <x:c r="D51" s="37" t="str">
        <x:v>Direct Census comparison</x:v>
      </x:c>
      <x:c r="E51" s="75" t="n">
        <x:f>COUNTIFS('Requirement Map'!$A$7:$A$1051,A51,'Requirement Map'!$E$7:$E$1051,"Must")</x:f>
        <x:v>5</x:v>
      </x:c>
      <x:c r="F51" s="75" t="n">
        <x:f>COUNTIFS('Requirement Map'!$A$7:$A$1051,A51,'Requirement Map'!$E$7:$E$1051,"Important")</x:f>
        <x:v>6</x:v>
      </x:c>
      <x:c r="G51" s="75" t="n">
        <x:f>COUNTIFS('Requirement Map'!$A$7:$A$1051,A51,'Requirement Map'!$E$7:$E$1051,"Expansion")</x:f>
        <x:v>4</x:v>
      </x:c>
      <x:c r="H51" s="37" t="str">
        <x:v>DOS-045 | Must FAM IDs</x:v>
      </x:c>
      <x:c r="I51" s="37" t="str">
        <x:v>DOS-045 | Must + Important FAM IDs</x:v>
      </x:c>
      <x:c r="J51" s="37" t="str">
        <x:f>IF(E51=0,"BLOCKED — no Must profile","READY — compare with Census Platform Facts / Coverage")</x:f>
        <x:v>READY — compare with Census Platform Facts / Coverage</x:v>
      </x:c>
      <x:c r="K51" s="64" t="str">
        <x:v>Awaiting Census evidence</x:v>
      </x:c>
      <x:c r="L51" s="64" t="str">
        <x:v>Awaiting Census evidence</x:v>
      </x:c>
      <x:c r="M51" s="64" t="str"/>
      <x:c r="N51" s="65" t="str"/>
    </x:row>
    <x:row r="52" ht="46" customHeight="1">
      <x:c r="A52" s="36" t="str">
        <x:v>DOS-046</x:v>
      </x:c>
      <x:c r="B52" s="37" t="str">
        <x:v>Song, Setlist &amp; Collaboration Tools</x:v>
      </x:c>
      <x:c r="C52" s="37" t="str">
        <x:v>Expansion</x:v>
      </x:c>
      <x:c r="D52" s="37" t="str">
        <x:v>Direct Census comparison</x:v>
      </x:c>
      <x:c r="E52" s="75" t="n">
        <x:f>COUNTIFS('Requirement Map'!$A$7:$A$1051,A52,'Requirement Map'!$E$7:$E$1051,"Must")</x:f>
        <x:v>7</x:v>
      </x:c>
      <x:c r="F52" s="75" t="n">
        <x:f>COUNTIFS('Requirement Map'!$A$7:$A$1051,A52,'Requirement Map'!$E$7:$E$1051,"Important")</x:f>
        <x:v>8</x:v>
      </x:c>
      <x:c r="G52" s="75" t="n">
        <x:f>COUNTIFS('Requirement Map'!$A$7:$A$1051,A52,'Requirement Map'!$E$7:$E$1051,"Expansion")</x:f>
        <x:v>4</x:v>
      </x:c>
      <x:c r="H52" s="37" t="str">
        <x:v>DOS-046 | Must FAM IDs</x:v>
      </x:c>
      <x:c r="I52" s="37" t="str">
        <x:v>DOS-046 | Must + Important FAM IDs</x:v>
      </x:c>
      <x:c r="J52" s="37" t="str">
        <x:f>IF(E52=0,"BLOCKED — no Must profile","READY — compare with Census Platform Facts / Coverage")</x:f>
        <x:v>READY — compare with Census Platform Facts / Coverage</x:v>
      </x:c>
      <x:c r="K52" s="64" t="str">
        <x:v>Awaiting Census evidence</x:v>
      </x:c>
      <x:c r="L52" s="64" t="str">
        <x:v>Awaiting Census evidence</x:v>
      </x:c>
      <x:c r="M52" s="64" t="str"/>
      <x:c r="N52" s="65" t="str"/>
    </x:row>
    <x:row r="53" ht="46" customHeight="1">
      <x:c r="A53" s="36" t="str">
        <x:v>DOS-047</x:v>
      </x:c>
      <x:c r="B53" s="37" t="str">
        <x:v>ZAF Vocal Warmup Coach</x:v>
      </x:c>
      <x:c r="C53" s="37" t="str">
        <x:v>Expansion</x:v>
      </x:c>
      <x:c r="D53" s="37" t="str">
        <x:v>Direct Census comparison</x:v>
      </x:c>
      <x:c r="E53" s="75" t="n">
        <x:f>COUNTIFS('Requirement Map'!$A$7:$A$1051,A53,'Requirement Map'!$E$7:$E$1051,"Must")</x:f>
        <x:v>7</x:v>
      </x:c>
      <x:c r="F53" s="75" t="n">
        <x:f>COUNTIFS('Requirement Map'!$A$7:$A$1051,A53,'Requirement Map'!$E$7:$E$1051,"Important")</x:f>
        <x:v>8</x:v>
      </x:c>
      <x:c r="G53" s="75" t="n">
        <x:f>COUNTIFS('Requirement Map'!$A$7:$A$1051,A53,'Requirement Map'!$E$7:$E$1051,"Expansion")</x:f>
        <x:v>4</x:v>
      </x:c>
      <x:c r="H53" s="37" t="str">
        <x:v>DOS-047 | Must FAM IDs</x:v>
      </x:c>
      <x:c r="I53" s="37" t="str">
        <x:v>DOS-047 | Must + Important FAM IDs</x:v>
      </x:c>
      <x:c r="J53" s="37" t="str">
        <x:f>IF(E53=0,"BLOCKED — no Must profile","READY — compare with Census Platform Facts / Coverage")</x:f>
        <x:v>READY — compare with Census Platform Facts / Coverage</x:v>
      </x:c>
      <x:c r="K53" s="64" t="str">
        <x:v>Awaiting Census evidence</x:v>
      </x:c>
      <x:c r="L53" s="64" t="str">
        <x:v>Awaiting Census evidence</x:v>
      </x:c>
      <x:c r="M53" s="64" t="str"/>
      <x:c r="N53" s="65" t="str"/>
    </x:row>
    <x:row r="54" ht="46" customHeight="1">
      <x:c r="A54" s="36" t="str">
        <x:v>DOS-048</x:v>
      </x:c>
      <x:c r="B54" s="37" t="str">
        <x:v>ZAF Lyric Mashup &amp; Creative Tools</x:v>
      </x:c>
      <x:c r="C54" s="37" t="str">
        <x:v>Expansion</x:v>
      </x:c>
      <x:c r="D54" s="37" t="str">
        <x:v>Direct Census comparison</x:v>
      </x:c>
      <x:c r="E54" s="75" t="n">
        <x:f>COUNTIFS('Requirement Map'!$A$7:$A$1051,A54,'Requirement Map'!$E$7:$E$1051,"Must")</x:f>
        <x:v>7</x:v>
      </x:c>
      <x:c r="F54" s="75" t="n">
        <x:f>COUNTIFS('Requirement Map'!$A$7:$A$1051,A54,'Requirement Map'!$E$7:$E$1051,"Important")</x:f>
        <x:v>8</x:v>
      </x:c>
      <x:c r="G54" s="75" t="n">
        <x:f>COUNTIFS('Requirement Map'!$A$7:$A$1051,A54,'Requirement Map'!$E$7:$E$1051,"Expansion")</x:f>
        <x:v>4</x:v>
      </x:c>
      <x:c r="H54" s="37" t="str">
        <x:v>DOS-048 | Must FAM IDs</x:v>
      </x:c>
      <x:c r="I54" s="37" t="str">
        <x:v>DOS-048 | Must + Important FAM IDs</x:v>
      </x:c>
      <x:c r="J54" s="37" t="str">
        <x:f>IF(E54=0,"BLOCKED — no Must profile","READY — compare with Census Platform Facts / Coverage")</x:f>
        <x:v>READY — compare with Census Platform Facts / Coverage</x:v>
      </x:c>
      <x:c r="K54" s="64" t="str">
        <x:v>Awaiting Census evidence</x:v>
      </x:c>
      <x:c r="L54" s="64" t="str">
        <x:v>Awaiting Census evidence</x:v>
      </x:c>
      <x:c r="M54" s="64" t="str"/>
      <x:c r="N54" s="65" t="str"/>
    </x:row>
    <x:row r="55" ht="46" customHeight="1">
      <x:c r="A55" s="36" t="str">
        <x:v>DOS-049</x:v>
      </x:c>
      <x:c r="B55" s="37" t="str">
        <x:v>ZAF Artist Passport</x:v>
      </x:c>
      <x:c r="C55" s="37" t="str">
        <x:v>Expansion</x:v>
      </x:c>
      <x:c r="D55" s="37" t="str">
        <x:v>Direct Census comparison</x:v>
      </x:c>
      <x:c r="E55" s="75" t="n">
        <x:f>COUNTIFS('Requirement Map'!$A$7:$A$1051,A55,'Requirement Map'!$E$7:$E$1051,"Must")</x:f>
        <x:v>9</x:v>
      </x:c>
      <x:c r="F55" s="75" t="n">
        <x:f>COUNTIFS('Requirement Map'!$A$7:$A$1051,A55,'Requirement Map'!$E$7:$E$1051,"Important")</x:f>
        <x:v>9</x:v>
      </x:c>
      <x:c r="G55" s="75" t="n">
        <x:f>COUNTIFS('Requirement Map'!$A$7:$A$1051,A55,'Requirement Map'!$E$7:$E$1051,"Expansion")</x:f>
        <x:v>4</x:v>
      </x:c>
      <x:c r="H55" s="37" t="str">
        <x:v>DOS-049 | Must FAM IDs</x:v>
      </x:c>
      <x:c r="I55" s="37" t="str">
        <x:v>DOS-049 | Must + Important FAM IDs</x:v>
      </x:c>
      <x:c r="J55" s="37" t="str">
        <x:f>IF(E55=0,"BLOCKED — no Must profile","READY — compare with Census Platform Facts / Coverage")</x:f>
        <x:v>READY — compare with Census Platform Facts / Coverage</x:v>
      </x:c>
      <x:c r="K55" s="64" t="str">
        <x:v>Awaiting Census evidence</x:v>
      </x:c>
      <x:c r="L55" s="64" t="str">
        <x:v>Awaiting Census evidence</x:v>
      </x:c>
      <x:c r="M55" s="64" t="str"/>
      <x:c r="N55" s="65" t="str"/>
    </x:row>
    <x:row r="56" ht="46" customHeight="1">
      <x:c r="A56" s="36" t="str">
        <x:v>DOS-050</x:v>
      </x:c>
      <x:c r="B56" s="37" t="str">
        <x:v>ZAF Rewards, Loyalty &amp; Commerce</x:v>
      </x:c>
      <x:c r="C56" s="37" t="str">
        <x:v>Expansion</x:v>
      </x:c>
      <x:c r="D56" s="37" t="str">
        <x:v>Direct Census comparison</x:v>
      </x:c>
      <x:c r="E56" s="75" t="n">
        <x:f>COUNTIFS('Requirement Map'!$A$7:$A$1051,A56,'Requirement Map'!$E$7:$E$1051,"Must")</x:f>
        <x:v>7</x:v>
      </x:c>
      <x:c r="F56" s="75" t="n">
        <x:f>COUNTIFS('Requirement Map'!$A$7:$A$1051,A56,'Requirement Map'!$E$7:$E$1051,"Important")</x:f>
        <x:v>7</x:v>
      </x:c>
      <x:c r="G56" s="75" t="n">
        <x:f>COUNTIFS('Requirement Map'!$A$7:$A$1051,A56,'Requirement Map'!$E$7:$E$1051,"Expansion")</x:f>
        <x:v>4</x:v>
      </x:c>
      <x:c r="H56" s="37" t="str">
        <x:v>DOS-050 | Must FAM IDs</x:v>
      </x:c>
      <x:c r="I56" s="37" t="str">
        <x:v>DOS-050 | Must + Important FAM IDs</x:v>
      </x:c>
      <x:c r="J56" s="37" t="str">
        <x:f>IF(E56=0,"BLOCKED — no Must profile","READY — compare with Census Platform Facts / Coverage")</x:f>
        <x:v>READY — compare with Census Platform Facts / Coverage</x:v>
      </x:c>
      <x:c r="K56" s="64" t="str">
        <x:v>Awaiting Census evidence</x:v>
      </x:c>
      <x:c r="L56" s="64" t="str">
        <x:v>Awaiting Census evidence</x:v>
      </x:c>
      <x:c r="M56" s="64" t="str"/>
      <x:c r="N56" s="65" t="str"/>
    </x:row>
    <x:row r="57" ht="46" customHeight="1">
      <x:c r="A57" s="36" t="str">
        <x:v>DOS-051</x:v>
      </x:c>
      <x:c r="B57" s="37" t="str">
        <x:v>Virtual Labels, Talent Scouting &amp; Label Ladder</x:v>
      </x:c>
      <x:c r="C57" s="37" t="str">
        <x:v>Expansion</x:v>
      </x:c>
      <x:c r="D57" s="37" t="str">
        <x:v>Direct Census comparison</x:v>
      </x:c>
      <x:c r="E57" s="75" t="n">
        <x:f>COUNTIFS('Requirement Map'!$A$7:$A$1051,A57,'Requirement Map'!$E$7:$E$1051,"Must")</x:f>
        <x:v>5</x:v>
      </x:c>
      <x:c r="F57" s="75" t="n">
        <x:f>COUNTIFS('Requirement Map'!$A$7:$A$1051,A57,'Requirement Map'!$E$7:$E$1051,"Important")</x:f>
        <x:v>6</x:v>
      </x:c>
      <x:c r="G57" s="75" t="n">
        <x:f>COUNTIFS('Requirement Map'!$A$7:$A$1051,A57,'Requirement Map'!$E$7:$E$1051,"Expansion")</x:f>
        <x:v>4</x:v>
      </x:c>
      <x:c r="H57" s="37" t="str">
        <x:v>DOS-051 | Must FAM IDs</x:v>
      </x:c>
      <x:c r="I57" s="37" t="str">
        <x:v>DOS-051 | Must + Important FAM IDs</x:v>
      </x:c>
      <x:c r="J57" s="37" t="str">
        <x:f>IF(E57=0,"BLOCKED — no Must profile","READY — compare with Census Platform Facts / Coverage")</x:f>
        <x:v>READY — compare with Census Platform Facts / Coverage</x:v>
      </x:c>
      <x:c r="K57" s="64" t="str">
        <x:v>Awaiting Census evidence</x:v>
      </x:c>
      <x:c r="L57" s="64" t="str">
        <x:v>Awaiting Census evidence</x:v>
      </x:c>
      <x:c r="M57" s="64" t="str"/>
      <x:c r="N57" s="65" t="str"/>
    </x:row>
    <x:row r="58" ht="46" customHeight="1">
      <x:c r="A58" s="36" t="str">
        <x:v>DOS-052</x:v>
      </x:c>
      <x:c r="B58" s="37" t="str">
        <x:v>ZAF Merchandise &amp; Patronage</x:v>
      </x:c>
      <x:c r="C58" s="37" t="str">
        <x:v>Expansion</x:v>
      </x:c>
      <x:c r="D58" s="37" t="str">
        <x:v>Supporting website / commerce route</x:v>
      </x:c>
      <x:c r="E58" s="75" t="n">
        <x:f>COUNTIFS('Requirement Map'!$A$7:$A$1051,A58,'Requirement Map'!$E$7:$E$1051,"Must")</x:f>
        <x:v>7</x:v>
      </x:c>
      <x:c r="F58" s="75" t="n">
        <x:f>COUNTIFS('Requirement Map'!$A$7:$A$1051,A58,'Requirement Map'!$E$7:$E$1051,"Important")</x:f>
        <x:v>7</x:v>
      </x:c>
      <x:c r="G58" s="75" t="n">
        <x:f>COUNTIFS('Requirement Map'!$A$7:$A$1051,A58,'Requirement Map'!$E$7:$E$1051,"Expansion")</x:f>
        <x:v>4</x:v>
      </x:c>
      <x:c r="H58" s="37" t="str">
        <x:v>DOS-052 | Must FAM IDs</x:v>
      </x:c>
      <x:c r="I58" s="37" t="str">
        <x:v>DOS-052 | Must + Important FAM IDs</x:v>
      </x:c>
      <x:c r="J58" s="37" t="str">
        <x:f>IF(E58=0,"BLOCKED — no Must profile","READY — compare with Census Platform Facts / Coverage")</x:f>
        <x:v>READY — compare with Census Platform Facts / Coverage</x:v>
      </x:c>
      <x:c r="K58" s="64" t="str">
        <x:v>Awaiting Census evidence</x:v>
      </x:c>
      <x:c r="L58" s="64" t="str">
        <x:v>Awaiting Census evidence</x:v>
      </x:c>
      <x:c r="M58" s="64" t="str"/>
      <x:c r="N58" s="65" t="str"/>
    </x:row>
    <x:row r="59" ht="46" customHeight="1">
      <x:c r="A59" s="36" t="str">
        <x:v>DOS-053</x:v>
      </x:c>
      <x:c r="B59" s="37" t="str">
        <x:v>Themed Party Room Idea Generator</x:v>
      </x:c>
      <x:c r="C59" s="37" t="str">
        <x:v>Fast Prototype</x:v>
      </x:c>
      <x:c r="D59" s="37" t="str">
        <x:v>Direct Census comparison</x:v>
      </x:c>
      <x:c r="E59" s="75" t="n">
        <x:f>COUNTIFS('Requirement Map'!$A$7:$A$1051,A59,'Requirement Map'!$E$7:$E$1051,"Must")</x:f>
        <x:v>7</x:v>
      </x:c>
      <x:c r="F59" s="75" t="n">
        <x:f>COUNTIFS('Requirement Map'!$A$7:$A$1051,A59,'Requirement Map'!$E$7:$E$1051,"Important")</x:f>
        <x:v>8</x:v>
      </x:c>
      <x:c r="G59" s="75" t="n">
        <x:f>COUNTIFS('Requirement Map'!$A$7:$A$1051,A59,'Requirement Map'!$E$7:$E$1051,"Expansion")</x:f>
        <x:v>4</x:v>
      </x:c>
      <x:c r="H59" s="37" t="str">
        <x:v>DOS-053 | Must FAM IDs</x:v>
      </x:c>
      <x:c r="I59" s="37" t="str">
        <x:v>DOS-053 | Must + Important FAM IDs</x:v>
      </x:c>
      <x:c r="J59" s="37" t="str">
        <x:f>IF(E59=0,"BLOCKED — no Must profile","READY — compare with Census Platform Facts / Coverage")</x:f>
        <x:v>READY — compare with Census Platform Facts / Coverage</x:v>
      </x:c>
      <x:c r="K59" s="64" t="str">
        <x:v>Awaiting Census evidence</x:v>
      </x:c>
      <x:c r="L59" s="64" t="str">
        <x:v>Awaiting Census evidence</x:v>
      </x:c>
      <x:c r="M59" s="64" t="str"/>
      <x:c r="N59" s="65" t="str"/>
    </x:row>
    <x:row r="60" ht="46" customHeight="1">
      <x:c r="A60" s="36" t="str">
        <x:v>DOS-054</x:v>
      </x:c>
      <x:c r="B60" s="37" t="str">
        <x:v>Insurance Reinvention Concepts</x:v>
      </x:c>
      <x:c r="C60" s="37" t="str">
        <x:v>Needs Definition</x:v>
      </x:c>
      <x:c r="D60" s="37" t="str">
        <x:v>Supporting website / research route</x:v>
      </x:c>
      <x:c r="E60" s="75" t="n">
        <x:f>COUNTIFS('Requirement Map'!$A$7:$A$1051,A60,'Requirement Map'!$E$7:$E$1051,"Must")</x:f>
        <x:v>4</x:v>
      </x:c>
      <x:c r="F60" s="75" t="n">
        <x:f>COUNTIFS('Requirement Map'!$A$7:$A$1051,A60,'Requirement Map'!$E$7:$E$1051,"Important")</x:f>
        <x:v>5</x:v>
      </x:c>
      <x:c r="G60" s="75" t="n">
        <x:f>COUNTIFS('Requirement Map'!$A$7:$A$1051,A60,'Requirement Map'!$E$7:$E$1051,"Expansion")</x:f>
        <x:v>4</x:v>
      </x:c>
      <x:c r="H60" s="37" t="str">
        <x:v>DOS-054 | Must FAM IDs</x:v>
      </x:c>
      <x:c r="I60" s="37" t="str">
        <x:v>DOS-054 | Must + Important FAM IDs</x:v>
      </x:c>
      <x:c r="J60" s="37" t="str">
        <x:f>IF(E60=0,"BLOCKED — no Must profile","READY — compare with Census Platform Facts / Coverage")</x:f>
        <x:v>READY — compare with Census Platform Facts / Coverage</x:v>
      </x:c>
      <x:c r="K60" s="64" t="str">
        <x:v>Awaiting Census evidence</x:v>
      </x:c>
      <x:c r="L60" s="64" t="str">
        <x:v>Awaiting Census evidence</x:v>
      </x:c>
      <x:c r="M60" s="64" t="str"/>
      <x:c r="N60" s="65" t="str"/>
    </x:row>
    <x:row r="61" ht="46" customHeight="1">
      <x:c r="A61" s="36" t="str">
        <x:v>DOS-055</x:v>
      </x:c>
      <x:c r="B61" s="37" t="str">
        <x:v>Movie / TV Pitch Development Slate</x:v>
      </x:c>
      <x:c r="C61" s="37" t="str">
        <x:v>Needs Definition</x:v>
      </x:c>
      <x:c r="D61" s="37" t="str">
        <x:v>Supporting website / credibility route</x:v>
      </x:c>
      <x:c r="E61" s="75" t="n">
        <x:f>COUNTIFS('Requirement Map'!$A$7:$A$1051,A61,'Requirement Map'!$E$7:$E$1051,"Must")</x:f>
        <x:v>4</x:v>
      </x:c>
      <x:c r="F61" s="75" t="n">
        <x:f>COUNTIFS('Requirement Map'!$A$7:$A$1051,A61,'Requirement Map'!$E$7:$E$1051,"Important")</x:f>
        <x:v>5</x:v>
      </x:c>
      <x:c r="G61" s="75" t="n">
        <x:f>COUNTIFS('Requirement Map'!$A$7:$A$1051,A61,'Requirement Map'!$E$7:$E$1051,"Expansion")</x:f>
        <x:v>4</x:v>
      </x:c>
      <x:c r="H61" s="37" t="str">
        <x:v>DOS-055 | Must FAM IDs</x:v>
      </x:c>
      <x:c r="I61" s="37" t="str">
        <x:v>DOS-055 | Must + Important FAM IDs</x:v>
      </x:c>
      <x:c r="J61" s="37" t="str">
        <x:f>IF(E61=0,"BLOCKED — no Must profile","READY — compare with Census Platform Facts / Coverage")</x:f>
        <x:v>READY — compare with Census Platform Facts / Coverage</x:v>
      </x:c>
      <x:c r="K61" s="64" t="str">
        <x:v>Awaiting Census evidence</x:v>
      </x:c>
      <x:c r="L61" s="64" t="str">
        <x:v>Awaiting Census evidence</x:v>
      </x:c>
      <x:c r="M61" s="64" t="str"/>
      <x:c r="N61" s="65" t="str"/>
    </x:row>
    <x:row r="62" ht="46" customHeight="1">
      <x:c r="A62" s="36" t="str">
        <x:v>DOS-056</x:v>
      </x:c>
      <x:c r="B62" s="37" t="str">
        <x:v>Balanced Party</x:v>
      </x:c>
      <x:c r="C62" s="37" t="str">
        <x:v>Needs Definition</x:v>
      </x:c>
      <x:c r="D62" s="37" t="str">
        <x:v>Supporting website / research route</x:v>
      </x:c>
      <x:c r="E62" s="75" t="n">
        <x:f>COUNTIFS('Requirement Map'!$A$7:$A$1051,A62,'Requirement Map'!$E$7:$E$1051,"Must")</x:f>
        <x:v>4</x:v>
      </x:c>
      <x:c r="F62" s="75" t="n">
        <x:f>COUNTIFS('Requirement Map'!$A$7:$A$1051,A62,'Requirement Map'!$E$7:$E$1051,"Important")</x:f>
        <x:v>5</x:v>
      </x:c>
      <x:c r="G62" s="75" t="n">
        <x:f>COUNTIFS('Requirement Map'!$A$7:$A$1051,A62,'Requirement Map'!$E$7:$E$1051,"Expansion")</x:f>
        <x:v>4</x:v>
      </x:c>
      <x:c r="H62" s="37" t="str">
        <x:v>DOS-056 | Must FAM IDs</x:v>
      </x:c>
      <x:c r="I62" s="37" t="str">
        <x:v>DOS-056 | Must + Important FAM IDs</x:v>
      </x:c>
      <x:c r="J62" s="37" t="str">
        <x:f>IF(E62=0,"BLOCKED — no Must profile","READY — compare with Census Platform Facts / Coverage")</x:f>
        <x:v>READY — compare with Census Platform Facts / Coverage</x:v>
      </x:c>
      <x:c r="K62" s="64" t="str">
        <x:v>Awaiting Census evidence</x:v>
      </x:c>
      <x:c r="L62" s="64" t="str">
        <x:v>Awaiting Census evidence</x:v>
      </x:c>
      <x:c r="M62" s="64" t="str"/>
      <x:c r="N62" s="65" t="str"/>
    </x:row>
    <x:row r="63" ht="46" customHeight="1">
      <x:c r="A63" s="36" t="str">
        <x:v>DOS-057</x:v>
      </x:c>
      <x:c r="B63" s="37" t="str">
        <x:v>Domain Investment &amp; Marketplace Research</x:v>
      </x:c>
      <x:c r="C63" s="37" t="str">
        <x:v>Needs Definition</x:v>
      </x:c>
      <x:c r="D63" s="37" t="str">
        <x:v>Supporting website / research route</x:v>
      </x:c>
      <x:c r="E63" s="75" t="n">
        <x:f>COUNTIFS('Requirement Map'!$A$7:$A$1051,A63,'Requirement Map'!$E$7:$E$1051,"Must")</x:f>
        <x:v>4</x:v>
      </x:c>
      <x:c r="F63" s="75" t="n">
        <x:f>COUNTIFS('Requirement Map'!$A$7:$A$1051,A63,'Requirement Map'!$E$7:$E$1051,"Important")</x:f>
        <x:v>5</x:v>
      </x:c>
      <x:c r="G63" s="75" t="n">
        <x:f>COUNTIFS('Requirement Map'!$A$7:$A$1051,A63,'Requirement Map'!$E$7:$E$1051,"Expansion")</x:f>
        <x:v>4</x:v>
      </x:c>
      <x:c r="H63" s="37" t="str">
        <x:v>DOS-057 | Must FAM IDs</x:v>
      </x:c>
      <x:c r="I63" s="37" t="str">
        <x:v>DOS-057 | Must + Important FAM IDs</x:v>
      </x:c>
      <x:c r="J63" s="37" t="str">
        <x:f>IF(E63=0,"BLOCKED — no Must profile","READY — compare with Census Platform Facts / Coverage")</x:f>
        <x:v>READY — compare with Census Platform Facts / Coverage</x:v>
      </x:c>
      <x:c r="K63" s="64" t="str">
        <x:v>Awaiting Census evidence</x:v>
      </x:c>
      <x:c r="L63" s="64" t="str">
        <x:v>Awaiting Census evidence</x:v>
      </x:c>
      <x:c r="M63" s="64" t="str"/>
      <x:c r="N63" s="65" t="str"/>
    </x:row>
    <x:row r="64" ht="46" customHeight="1">
      <x:c r="A64" s="39" t="str">
        <x:v>DOS-058</x:v>
      </x:c>
      <x:c r="B64" s="40" t="str">
        <x:v>ZAF Brand, Namespace &amp; Visual Standards</x:v>
      </x:c>
      <x:c r="C64" s="40" t="str">
        <x:v>Expansion</x:v>
      </x:c>
      <x:c r="D64" s="40" t="str">
        <x:v>Supporting website / credibility route</x:v>
      </x:c>
      <x:c r="E64" s="76" t="n">
        <x:f>COUNTIFS('Requirement Map'!$A$7:$A$1051,A64,'Requirement Map'!$E$7:$E$1051,"Must")</x:f>
        <x:v>5</x:v>
      </x:c>
      <x:c r="F64" s="76" t="n">
        <x:f>COUNTIFS('Requirement Map'!$A$7:$A$1051,A64,'Requirement Map'!$E$7:$E$1051,"Important")</x:f>
        <x:v>6</x:v>
      </x:c>
      <x:c r="G64" s="76" t="n">
        <x:f>COUNTIFS('Requirement Map'!$A$7:$A$1051,A64,'Requirement Map'!$E$7:$E$1051,"Expansion")</x:f>
        <x:v>4</x:v>
      </x:c>
      <x:c r="H64" s="40" t="str">
        <x:v>DOS-058 | Must FAM IDs</x:v>
      </x:c>
      <x:c r="I64" s="40" t="str">
        <x:v>DOS-058 | Must + Important FAM IDs</x:v>
      </x:c>
      <x:c r="J64" s="40" t="str">
        <x:f>IF(E64=0,"BLOCKED — no Must profile","READY — compare with Census Platform Facts / Coverage")</x:f>
        <x:v>READY — compare with Census Platform Facts / Coverage</x:v>
      </x:c>
      <x:c r="K64" s="66" t="str">
        <x:v>Awaiting Census evidence</x:v>
      </x:c>
      <x:c r="L64" s="66" t="str">
        <x:v>Awaiting Census evidence</x:v>
      </x:c>
      <x:c r="M64" s="66" t="str"/>
      <x:c r="N64" s="67" t="str"/>
    </x:row>
  </x:sheetData>
  <x:mergeCells>
    <x:mergeCell ref="A1:N1"/>
    <x:mergeCell ref="A2:N2"/>
  </x:mergeCells>
  <x:dataValidations count="1">
    <x:dataValidation type="list" sqref="M7:M64">
      <x:formula1>",Builder candidate,Builder + stack candidate,Needs Census evidence,Disqualified by Must gap"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9cbd9a56bc248a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24" hidden="0" customWidth="1"/>
    <x:col min="4" max="4" width="31" hidden="0" customWidth="1"/>
    <x:col min="5" max="5" width="68" hidden="0" customWidth="1"/>
    <x:col min="6" max="6" width="18" hidden="0" customWidth="1"/>
    <x:col min="7" max="7" width="36" hidden="0" customWidth="1"/>
    <x:col min="8" max="8" width="42" hidden="0" customWidth="1"/>
    <x:col min="9" max="9" width="18" hidden="0" customWidth="1"/>
  </x:cols>
  <x:sheetData>
    <x:row r="1" ht="30" customHeight="1">
      <x:c r="A1" s="4" t="str">
        <x:v>IDEA &amp; EXPANSION ARCHIVE — EVERY RECOVERED IDEA, SAFELY NESTED</x:v>
      </x:c>
    </x:row>
    <x:row r="2" ht="28" customHeight="1">
      <x:c r="A2" s="8" t="str">
        <x:v>All 211 inventory records remain visible. The mapped project prevents a module, phase, or business model from pretending to be a separate executive decision.</x:v>
      </x:c>
    </x:row>
    <x:row r="6">
      <x:c r="A6" s="14" t="str">
        <x:v>Inventory #</x:v>
      </x:c>
      <x:c r="B6" s="14" t="str">
        <x:v>Original Idea / Record</x:v>
      </x:c>
      <x:c r="C6" s="14" t="str">
        <x:v>Tags / Status</x:v>
      </x:c>
      <x:c r="D6" s="14" t="str">
        <x:v>Source Section</x:v>
      </x:c>
      <x:c r="E6" s="14" t="str">
        <x:v>Original Description</x:v>
      </x:c>
      <x:c r="F6" s="14" t="str">
        <x:v>Mapped Dossier Project ID</x:v>
      </x:c>
      <x:c r="G6" s="14" t="str">
        <x:v>Mapped Parent Project</x:v>
      </x:c>
      <x:c r="H6" s="14" t="str">
        <x:v>Dossier Treatment</x:v>
      </x:c>
      <x:c r="I6" s="14" t="str">
        <x:v>Mapping Confidence</x:v>
      </x:c>
    </x:row>
    <x:row r="7" ht="42" customHeight="1">
      <x:c r="A7" s="77" t="n">
        <x:v>1</x:v>
      </x:c>
      <x:c r="B7" s="34" t="str">
        <x:v>Karaoke🎙️Dokie / KaraokeDokie</x:v>
      </x:c>
      <x:c r="C7" s="34" t="str">
        <x:v>`KD`</x:v>
      </x:c>
      <x:c r="D7" s="34" t="str">
        <x:v>Karaoke🎙️Dokie: Phases, Concepts, Ideas, and Modules</x:v>
      </x:c>
      <x:c r="E7" s="34" t="str">
        <x:v>Platform-neutral creative-production department surrounding a karaoke performance: prepare, direct, package, improve, and export.</x:v>
      </x:c>
      <x:c r="F7" s="43" t="str">
        <x:v>DOS-001</x:v>
      </x:c>
      <x:c r="G7" s="43" t="str">
        <x:v>KaraokeDokie — Phase 1</x:v>
      </x:c>
      <x:c r="H7" s="34" t="str">
        <x:v>Linked idea, capability, or project component</x:v>
      </x:c>
      <x:c r="I7" s="35" t="str">
        <x:v>High</x:v>
      </x:c>
    </x:row>
    <x:row r="8" ht="42" customHeight="1">
      <x:c r="A8" s="78" t="n">
        <x:v>2</x:v>
      </x:c>
      <x:c r="B8" s="37" t="str">
        <x:v>Core positioning</x:v>
      </x:c>
      <x:c r="C8" s="37" t="str">
        <x:v>`KD`</x:v>
      </x:c>
      <x:c r="D8" s="37" t="str">
        <x:v>Karaoke🎙️Dokie: Phases, Concepts, Ideas, and Modules</x:v>
      </x:c>
      <x:c r="E8" s="37" t="str">
        <x:v>Users may sing anywhere; KaraokeDokie handles the before-and-after production layer rather than becoming another recording/social karaoke app.</x:v>
      </x:c>
      <x:c r="F8" s="45" t="str">
        <x:v>DOS-001</x:v>
      </x:c>
      <x:c r="G8" s="45" t="str">
        <x:v>KaraokeDokie — Phase 1</x:v>
      </x:c>
      <x:c r="H8" s="37" t="str">
        <x:v>Linked idea, capability, or project component</x:v>
      </x:c>
      <x:c r="I8" s="38" t="str">
        <x:v>High</x:v>
      </x:c>
    </x:row>
    <x:row r="9" ht="42" customHeight="1">
      <x:c r="A9" s="78" t="n">
        <x:v>3</x:v>
      </x:c>
      <x:c r="B9" s="37" t="str">
        <x:v>Historical Audio-Remaster Phase</x:v>
      </x:c>
      <x:c r="C9" s="37" t="str">
        <x:v>`KD-P0`, legacy</x:v>
      </x:c>
      <x:c r="D9" s="37" t="str">
        <x:v>Karaoke🎙️Dokie: Phases, Concepts, Ideas, and Modules</x:v>
      </x:c>
      <x:c r="E9" s="37" t="str">
        <x:v>Earlier “Phase 1” improved already-recorded covers; now preserved as a later audio-aware branch.</x:v>
      </x:c>
      <x:c r="F9" s="45" t="str">
        <x:v>DOS-002</x:v>
      </x:c>
      <x:c r="G9" s="45" t="str">
        <x:v>KaraokeDokie — Media Intelligence &amp; Phase 2</x:v>
      </x:c>
      <x:c r="H9" s="37" t="str">
        <x:v>Phase, module, or expansion within mapped project</x:v>
      </x:c>
      <x:c r="I9" s="38" t="str">
        <x:v>High</x:v>
      </x:c>
    </x:row>
    <x:row r="10" ht="42" customHeight="1">
      <x:c r="A10" s="78" t="n">
        <x:v>4</x:v>
      </x:c>
      <x:c r="B10" s="37" t="str">
        <x:v>Legacy MVP pipeline</x:v>
      </x:c>
      <x:c r="C10" s="37" t="str">
        <x:v>`KD-P0`</x:v>
      </x:c>
      <x:c r="D10" s="37" t="str">
        <x:v>Karaoke🎙️Dokie: Phases, Concepts, Ideas, and Modules</x:v>
      </x:c>
      <x:c r="E10" s="37" t="str">
        <x:v>Upload → Transform → Compare/Preview → Export.</x:v>
      </x:c>
      <x:c r="F10" s="45" t="str">
        <x:v>DOS-002</x:v>
      </x:c>
      <x:c r="G10" s="45" t="str">
        <x:v>KaraokeDokie — Media Intelligence &amp; Phase 2</x:v>
      </x:c>
      <x:c r="H10" s="37" t="str">
        <x:v>Phase, module, or expansion within mapped project</x:v>
      </x:c>
      <x:c r="I10" s="38" t="str">
        <x:v>High</x:v>
      </x:c>
    </x:row>
    <x:row r="11" ht="42" customHeight="1">
      <x:c r="A11" s="78" t="n">
        <x:v>5</x:v>
      </x:c>
      <x:c r="B11" s="37" t="str">
        <x:v>Cover Polish Engine / Studio Polish / SoundSweetener</x:v>
      </x:c>
      <x:c r="C11" s="37" t="str">
        <x:v>`KD-P0`, aliases</x:v>
      </x:c>
      <x:c r="D11" s="37" t="str">
        <x:v>Karaoke🎙️Dokie: Phases, Concepts, Ideas, and Modules</x:v>
      </x:c>
      <x:c r="E11" s="37" t="str">
        <x:v>Preset-based remastering concept, initially not requiring AI.</x:v>
      </x:c>
      <x:c r="F11" s="45" t="str">
        <x:v>DOS-002</x:v>
      </x:c>
      <x:c r="G11" s="45" t="str">
        <x:v>KaraokeDokie — Media Intelligence &amp; Phase 2</x:v>
      </x:c>
      <x:c r="H11" s="37" t="str">
        <x:v>Phase, module, or expansion within mapped project</x:v>
      </x:c>
      <x:c r="I11" s="38" t="str">
        <x:v>High</x:v>
      </x:c>
    </x:row>
    <x:row r="12" ht="42" customHeight="1">
      <x:c r="A12" s="78" t="n">
        <x:v>6</x:v>
      </x:c>
      <x:c r="B12" s="37" t="str">
        <x:v>DSP polish chain</x:v>
      </x:c>
      <x:c r="C12" s="37" t="str">
        <x:v>`KD-P0`</x:v>
      </x:c>
      <x:c r="D12" s="37" t="str">
        <x:v>Karaoke🎙️Dokie: Phases, Concepts, Ideas, and Modules</x:v>
      </x:c>
      <x:c r="E12" s="37" t="str">
        <x:v>Preamp around −1 dB, EQ, 8:1 compression, maximum stereo widening, noise reduction, reverb with mid-scoop, plus optional high/low-pass filters.</x:v>
      </x:c>
      <x:c r="F12" s="45" t="str">
        <x:v>DOS-002</x:v>
      </x:c>
      <x:c r="G12" s="45" t="str">
        <x:v>KaraokeDokie — Media Intelligence &amp; Phase 2</x:v>
      </x:c>
      <x:c r="H12" s="37" t="str">
        <x:v>Phase, module, or expansion within mapped project</x:v>
      </x:c>
      <x:c r="I12" s="38" t="str">
        <x:v>High</x:v>
      </x:c>
    </x:row>
    <x:row r="13" ht="42" customHeight="1">
      <x:c r="A13" s="78" t="n">
        <x:v>7</x:v>
      </x:c>
      <x:c r="B13" s="37" t="str">
        <x:v>Preset Recommendation</x:v>
      </x:c>
      <x:c r="C13" s="37" t="str">
        <x:v>`KD-P0`</x:v>
      </x:c>
      <x:c r="D13" s="37" t="str">
        <x:v>Karaoke🎙️Dokie: Phases, Concepts, Ideas, and Modules</x:v>
      </x:c>
      <x:c r="E13" s="37" t="str">
        <x:v>Optional AI chooses a processing preset; deterministic FFmpeg/Web Audio performs the actual audio work.</x:v>
      </x:c>
      <x:c r="F13" s="45" t="str">
        <x:v>DOS-002</x:v>
      </x:c>
      <x:c r="G13" s="45" t="str">
        <x:v>KaraokeDokie — Media Intelligence &amp; Phase 2</x:v>
      </x:c>
      <x:c r="H13" s="37" t="str">
        <x:v>Phase, module, or expansion within mapped project</x:v>
      </x:c>
      <x:c r="I13" s="38" t="str">
        <x:v>High</x:v>
      </x:c>
    </x:row>
    <x:row r="14" ht="42" customHeight="1">
      <x:c r="A14" s="78" t="n">
        <x:v>8</x:v>
      </x:c>
      <x:c r="B14" s="37" t="str">
        <x:v>Before/After Compare</x:v>
      </x:c>
      <x:c r="C14" s="37" t="str">
        <x:v>`KD-P0`</x:v>
      </x:c>
      <x:c r="D14" s="37" t="str">
        <x:v>Karaoke🎙️Dokie: Phases, Concepts, Ideas, and Modules</x:v>
      </x:c>
      <x:c r="E14" s="37" t="str">
        <x:v>Original-versus-treated preview before export.</x:v>
      </x:c>
      <x:c r="F14" s="45" t="str">
        <x:v>DOS-002</x:v>
      </x:c>
      <x:c r="G14" s="45" t="str">
        <x:v>KaraokeDokie — Media Intelligence &amp; Phase 2</x:v>
      </x:c>
      <x:c r="H14" s="37" t="str">
        <x:v>Phase, module, or expansion within mapped project</x:v>
      </x:c>
      <x:c r="I14" s="38" t="str">
        <x:v>High</x:v>
      </x:c>
    </x:row>
    <x:row r="15" ht="42" customHeight="1">
      <x:c r="A15" s="78" t="n">
        <x:v>9</x:v>
      </x:c>
      <x:c r="B15" s="37" t="str">
        <x:v>Best Seven Seconds</x:v>
      </x:c>
      <x:c r="C15" s="37" t="str">
        <x:v>`KD-P0`</x:v>
      </x:c>
      <x:c r="D15" s="37" t="str">
        <x:v>Karaoke🎙️Dokie: Phases, Concepts, Ideas, and Modules</x:v>
      </x:c>
      <x:c r="E15" s="37" t="str">
        <x:v>Automatically extracts the strongest ≈7-second teaser and places it first for autoplay impact.</x:v>
      </x:c>
      <x:c r="F15" s="45" t="str">
        <x:v>DOS-002</x:v>
      </x:c>
      <x:c r="G15" s="45" t="str">
        <x:v>KaraokeDokie — Media Intelligence &amp; Phase 2</x:v>
      </x:c>
      <x:c r="H15" s="37" t="str">
        <x:v>Phase, module, or expansion within mapped project</x:v>
      </x:c>
      <x:c r="I15" s="38" t="str">
        <x:v>High</x:v>
      </x:c>
    </x:row>
    <x:row r="16" ht="42" customHeight="1">
      <x:c r="A16" s="78" t="n">
        <x:v>10</x:v>
      </x:c>
      <x:c r="B16" s="37" t="str">
        <x:v>Rights/Metadata Graphic</x:v>
      </x:c>
      <x:c r="C16" s="37" t="str">
        <x:v>`KD-P0`</x:v>
      </x:c>
      <x:c r="D16" s="37" t="str">
        <x:v>Karaoke🎙️Dokie: Phases, Concepts, Ideas, and Modules</x:v>
      </x:c>
      <x:c r="E16" s="37" t="str">
        <x:v>Displays song, artist, terms, and copyright/disclaimer information.</x:v>
      </x:c>
      <x:c r="F16" s="45" t="str">
        <x:v>DOS-002</x:v>
      </x:c>
      <x:c r="G16" s="45" t="str">
        <x:v>KaraokeDokie — Media Intelligence &amp; Phase 2</x:v>
      </x:c>
      <x:c r="H16" s="37" t="str">
        <x:v>Phase, module, or expansion within mapped project</x:v>
      </x:c>
      <x:c r="I16" s="38" t="str">
        <x:v>High</x:v>
      </x:c>
    </x:row>
    <x:row r="17" ht="42" customHeight="1">
      <x:c r="A17" s="78" t="n">
        <x:v>11</x:v>
      </x:c>
      <x:c r="B17" s="37" t="str">
        <x:v>Vocal-isolation boundary</x:v>
      </x:c>
      <x:c r="C17" s="37" t="str">
        <x:v>`KD-P0`</x:v>
      </x:c>
      <x:c r="D17" s="37" t="str">
        <x:v>Karaoke🎙️Dokie: Phases, Concepts, Ideas, and Modules</x:v>
      </x:c>
      <x:c r="E17" s="37" t="str">
        <x:v>Explicitly excluded from the original remaster chain; retained as a separate future module rather than silently shoved into it.</x:v>
      </x:c>
      <x:c r="F17" s="45" t="str">
        <x:v>DOS-003</x:v>
      </x:c>
      <x:c r="G17" s="45" t="str">
        <x:v>Karaoke 2.0 / Digital Isolation Chamber</x:v>
      </x:c>
      <x:c r="H17" s="37" t="str">
        <x:v>Phase, module, or expansion within mapped project</x:v>
      </x:c>
      <x:c r="I17" s="38" t="str">
        <x:v>High</x:v>
      </x:c>
    </x:row>
    <x:row r="18" ht="42" customHeight="1">
      <x:c r="A18" s="78" t="n">
        <x:v>12</x:v>
      </x:c>
      <x:c r="B18" s="37" t="str">
        <x:v>Current Phase 1: Title-Only Preparation</x:v>
      </x:c>
      <x:c r="C18" s="37" t="str">
        <x:v>`KD-P1`, current</x:v>
      </x:c>
      <x:c r="D18" s="37" t="str">
        <x:v>Karaoke🎙️Dokie: Phases, Concepts, Ideas, and Modules</x:v>
      </x:c>
      <x:c r="E18" s="37" t="str">
        <x:v>The song title is the only required input; no performance audio is needed.</x:v>
      </x:c>
      <x:c r="F18" s="45" t="str">
        <x:v>DOS-001</x:v>
      </x:c>
      <x:c r="G18" s="45" t="str">
        <x:v>KaraokeDokie — Phase 1</x:v>
      </x:c>
      <x:c r="H18" s="37" t="str">
        <x:v>Phase, module, or expansion within mapped project</x:v>
      </x:c>
      <x:c r="I18" s="38" t="str">
        <x:v>High</x:v>
      </x:c>
    </x:row>
    <x:row r="19" ht="42" customHeight="1">
      <x:c r="A19" s="78" t="n">
        <x:v>13</x:v>
      </x:c>
      <x:c r="B19" s="37" t="str">
        <x:v>Google AI Studio Build</x:v>
      </x:c>
      <x:c r="C19" s="37" t="str">
        <x:v>`KD-P1`</x:v>
      </x:c>
      <x:c r="D19" s="37" t="str">
        <x:v>Karaoke🎙️Dokie: Phases, Concepts, Ideas, and Modules</x:v>
      </x:c>
      <x:c r="E19" s="37" t="str">
        <x:v>Current intended implementation path using Gemini/image generation and full-stack capabilities.</x:v>
      </x:c>
      <x:c r="F19" s="45" t="str">
        <x:v>DOS-001</x:v>
      </x:c>
      <x:c r="G19" s="45" t="str">
        <x:v>KaraokeDokie — Phase 1</x:v>
      </x:c>
      <x:c r="H19" s="37" t="str">
        <x:v>Phase, module, or expansion within mapped project</x:v>
      </x:c>
      <x:c r="I19" s="38" t="str">
        <x:v>High</x:v>
      </x:c>
    </x:row>
    <x:row r="20" ht="42" customHeight="1">
      <x:c r="A20" s="78" t="n">
        <x:v>14</x:v>
      </x:c>
      <x:c r="B20" s="37" t="str">
        <x:v>Lovable Build Variant</x:v>
      </x:c>
      <x:c r="C20" s="37" t="str">
        <x:v>`KD-P1`</x:v>
      </x:c>
      <x:c r="D20" s="37" t="str">
        <x:v>Karaoke🎙️Dokie: Phases, Concepts, Ideas, and Modules</x:v>
      </x:c>
      <x:c r="E20" s="37" t="str">
        <x:v>Alternate prototype/build path previously requested; useful for UI/product validation.</x:v>
      </x:c>
      <x:c r="F20" s="45" t="str">
        <x:v>DOS-001</x:v>
      </x:c>
      <x:c r="G20" s="45" t="str">
        <x:v>KaraokeDokie — Phase 1</x:v>
      </x:c>
      <x:c r="H20" s="37" t="str">
        <x:v>Phase, module, or expansion within mapped project</x:v>
      </x:c>
      <x:c r="I20" s="38" t="str">
        <x:v>High</x:v>
      </x:c>
    </x:row>
    <x:row r="21" ht="42" customHeight="1">
      <x:c r="A21" s="78" t="n">
        <x:v>15</x:v>
      </x:c>
      <x:c r="B21" s="37" t="str">
        <x:v>Song Lock</x:v>
      </x:c>
      <x:c r="C21" s="37" t="str">
        <x:v>`KD-P1`</x:v>
      </x:c>
      <x:c r="D21" s="37" t="str">
        <x:v>Karaoke🎙️Dokie: Phases, Concepts, Ideas, and Modules</x:v>
      </x:c>
      <x:c r="E21" s="37" t="str">
        <x:v>Confirms exact artist, recording, version, and ambiguity before generating anything.</x:v>
      </x:c>
      <x:c r="F21" s="45" t="str">
        <x:v>DOS-001</x:v>
      </x:c>
      <x:c r="G21" s="45" t="str">
        <x:v>KaraokeDokie — Phase 1</x:v>
      </x:c>
      <x:c r="H21" s="37" t="str">
        <x:v>Phase, module, or expansion within mapped project</x:v>
      </x:c>
      <x:c r="I21" s="38" t="str">
        <x:v>High</x:v>
      </x:c>
    </x:row>
    <x:row r="22" ht="42" customHeight="1">
      <x:c r="A22" s="78" t="n">
        <x:v>16</x:v>
      </x:c>
      <x:c r="B22" s="37" t="str">
        <x:v>Version Certainty Warning</x:v>
      </x:c>
      <x:c r="C22" s="37" t="str">
        <x:v>`KD-P1`</x:v>
      </x:c>
      <x:c r="D22" s="37" t="str">
        <x:v>Karaoke🎙️Dokie: Phases, Concepts, Ideas, and Modules</x:v>
      </x:c>
      <x:c r="E22" s="37" t="str">
        <x:v>Flags titles with multiple famous recordings rather than confidently preparing the wrong damned song.</x:v>
      </x:c>
      <x:c r="F22" s="45" t="str">
        <x:v>DOS-001</x:v>
      </x:c>
      <x:c r="G22" s="45" t="str">
        <x:v>KaraokeDokie — Phase 1</x:v>
      </x:c>
      <x:c r="H22" s="37" t="str">
        <x:v>Phase, module, or expansion within mapped project</x:v>
      </x:c>
      <x:c r="I22" s="38" t="str">
        <x:v>High</x:v>
      </x:c>
    </x:row>
    <x:row r="23" ht="42" customHeight="1">
      <x:c r="A23" s="78" t="n">
        <x:v>17</x:v>
      </x:c>
      <x:c r="B23" s="37" t="str">
        <x:v>Song DNA</x:v>
      </x:c>
      <x:c r="C23" s="37" t="str">
        <x:v>`KD-P1`</x:v>
      </x:c>
      <x:c r="D23" s="37" t="str">
        <x:v>Karaoke🎙️Dokie: Phases, Concepts, Ideas, and Modules</x:v>
      </x:c>
      <x:c r="E23" s="37" t="str">
        <x:v>Era, genre, mood, emotional premise, structure, difficulty, vocal character, duration, BPM/key/range when reliable.</x:v>
      </x:c>
      <x:c r="F23" s="45" t="str">
        <x:v>DOS-001</x:v>
      </x:c>
      <x:c r="G23" s="45" t="str">
        <x:v>KaraokeDokie — Phase 1</x:v>
      </x:c>
      <x:c r="H23" s="37" t="str">
        <x:v>Phase, module, or expansion within mapped project</x:v>
      </x:c>
      <x:c r="I23" s="38" t="str">
        <x:v>High</x:v>
      </x:c>
    </x:row>
    <x:row r="24" ht="42" customHeight="1">
      <x:c r="A24" s="78" t="n">
        <x:v>18</x:v>
      </x:c>
      <x:c r="B24" s="37" t="str">
        <x:v>Invisible Lyric Retrieval</x:v>
      </x:c>
      <x:c r="C24" s="37" t="str">
        <x:v>`KD-P1`</x:v>
      </x:c>
      <x:c r="D24" s="37" t="str">
        <x:v>Karaoke🎙️Dokie: Phases, Concepts, Ideas, and Modules</x:v>
      </x:c>
      <x:c r="E24" s="37" t="str">
        <x:v>Lyrics inform creative outputs without needing to be displayed or reproduced to the user.</x:v>
      </x:c>
      <x:c r="F24" s="45" t="str">
        <x:v>DOS-001</x:v>
      </x:c>
      <x:c r="G24" s="45" t="str">
        <x:v>KaraokeDokie — Phase 1</x:v>
      </x:c>
      <x:c r="H24" s="37" t="str">
        <x:v>Phase, module, or expansion within mapped project</x:v>
      </x:c>
      <x:c r="I24" s="38" t="str">
        <x:v>High</x:v>
      </x:c>
    </x:row>
    <x:row r="25" ht="42" customHeight="1">
      <x:c r="A25" s="78" t="n">
        <x:v>19</x:v>
      </x:c>
      <x:c r="B25" s="37" t="str">
        <x:v>Song Structure + Duration Mapper</x:v>
      </x:c>
      <x:c r="C25" s="37" t="str">
        <x:v>`KD-P1`</x:v>
      </x:c>
      <x:c r="D25" s="37" t="str">
        <x:v>Karaoke🎙️Dokie: Phases, Concepts, Ideas, and Modules</x:v>
      </x:c>
      <x:c r="E25" s="37" t="str">
        <x:v>Estimates verse/chorus/bridge/outro and divides the timeline for imagery and performance direction.</x:v>
      </x:c>
      <x:c r="F25" s="45" t="str">
        <x:v>DOS-001</x:v>
      </x:c>
      <x:c r="G25" s="45" t="str">
        <x:v>KaraokeDokie — Phase 1</x:v>
      </x:c>
      <x:c r="H25" s="37" t="str">
        <x:v>Phase, module, or expansion within mapped project</x:v>
      </x:c>
      <x:c r="I25" s="38" t="str">
        <x:v>High</x:v>
      </x:c>
    </x:row>
    <x:row r="26" ht="42" customHeight="1">
      <x:c r="A26" s="78" t="n">
        <x:v>20</x:v>
      </x:c>
      <x:c r="B26" s="37" t="str">
        <x:v>Quick Pack</x:v>
      </x:c>
      <x:c r="C26" s="37" t="str">
        <x:v>`KD-P1`</x:v>
      </x:c>
      <x:c r="D26" s="37" t="str">
        <x:v>Karaoke🎙️Dokie: Phases, Concepts, Ideas, and Modules</x:v>
      </x:c>
      <x:c r="E26" s="37" t="str">
        <x:v>Near-automatic end-to-end generation from title to finished asset pack.</x:v>
      </x:c>
      <x:c r="F26" s="45" t="str">
        <x:v>DOS-001</x:v>
      </x:c>
      <x:c r="G26" s="45" t="str">
        <x:v>KaraokeDokie — Phase 1</x:v>
      </x:c>
      <x:c r="H26" s="37" t="str">
        <x:v>Phase, module, or expansion within mapped project</x:v>
      </x:c>
      <x:c r="I26" s="38" t="str">
        <x:v>High</x:v>
      </x:c>
    </x:row>
    <x:row r="27" ht="42" customHeight="1">
      <x:c r="A27" s="78" t="n">
        <x:v>21</x:v>
      </x:c>
      <x:c r="B27" s="37" t="str">
        <x:v>Director Mode</x:v>
      </x:c>
      <x:c r="C27" s="37" t="str">
        <x:v>`KD-P1`</x:v>
      </x:c>
      <x:c r="D27" s="37" t="str">
        <x:v>Karaoke🎙️Dokie: Phases, Concepts, Ideas, and Modules</x:v>
      </x:c>
      <x:c r="E27" s="37" t="str">
        <x:v>User controls treatment, mood, imagery, performer, occasion, and strategy.</x:v>
      </x:c>
      <x:c r="F27" s="45" t="str">
        <x:v>DOS-001</x:v>
      </x:c>
      <x:c r="G27" s="45" t="str">
        <x:v>KaraokeDokie — Phase 1</x:v>
      </x:c>
      <x:c r="H27" s="37" t="str">
        <x:v>Phase, module, or expansion within mapped project</x:v>
      </x:c>
      <x:c r="I27" s="38" t="str">
        <x:v>High</x:v>
      </x:c>
    </x:row>
    <x:row r="28" ht="42" customHeight="1">
      <x:c r="A28" s="78" t="n">
        <x:v>22</x:v>
      </x:c>
      <x:c r="B28" s="37" t="str">
        <x:v>Creative Direction Generator / Concept Multiverse</x:v>
      </x:c>
      <x:c r="C28" s="37" t="str">
        <x:v>`KD-P1`</x:v>
      </x:c>
      <x:c r="D28" s="37" t="str">
        <x:v>Karaoke🎙️Dokie: Phases, Concepts, Ideas, and Modules</x:v>
      </x:c>
      <x:c r="E28" s="37" t="str">
        <x:v>Produces three distinct treatments: faithful, cinematic, and unhinged.</x:v>
      </x:c>
      <x:c r="F28" s="45" t="str">
        <x:v>DOS-001</x:v>
      </x:c>
      <x:c r="G28" s="45" t="str">
        <x:v>KaraokeDokie — Phase 1</x:v>
      </x:c>
      <x:c r="H28" s="37" t="str">
        <x:v>Phase, module, or expansion within mapped project</x:v>
      </x:c>
      <x:c r="I28" s="38" t="str">
        <x:v>High</x:v>
      </x:c>
    </x:row>
    <x:row r="29" ht="42" customHeight="1">
      <x:c r="A29" s="78" t="n">
        <x:v>23</x:v>
      </x:c>
      <x:c r="B29" s="37" t="str">
        <x:v>Creative-control taxonomy</x:v>
      </x:c>
      <x:c r="C29" s="37" t="str">
        <x:v>`KD-P1`</x:v>
      </x:c>
      <x:c r="D29" s="37" t="str">
        <x:v>Karaoke🎙️Dokie: Phases, Concepts, Ideas, and Modules</x:v>
      </x:c>
      <x:c r="E29" s="37" t="str">
        <x:v>Darkness, drama, camp, romance, realism, weirdness, personal meaning, literal/metaphorical, performer visibility, and audience.</x:v>
      </x:c>
      <x:c r="F29" s="45" t="str">
        <x:v>DOS-001</x:v>
      </x:c>
      <x:c r="G29" s="45" t="str">
        <x:v>KaraokeDokie — Phase 1</x:v>
      </x:c>
      <x:c r="H29" s="37" t="str">
        <x:v>Phase, module, or expansion within mapped project</x:v>
      </x:c>
      <x:c r="I29" s="38" t="str">
        <x:v>High</x:v>
      </x:c>
    </x:row>
    <x:row r="30" ht="42" customHeight="1">
      <x:c r="A30" s="78" t="n">
        <x:v>24</x:v>
      </x:c>
      <x:c r="B30" s="37" t="str">
        <x:v>Stock/Custom Presets + Reset</x:v>
      </x:c>
      <x:c r="C30" s="37" t="str">
        <x:v>`KD-P1`</x:v>
      </x:c>
      <x:c r="D30" s="37" t="str">
        <x:v>Karaoke🎙️Dokie: Phases, Concepts, Ideas, and Modules</x:v>
      </x:c>
      <x:c r="E30" s="37" t="str">
        <x:v>Reusable defaults, user presets, preference history, taxonomy filters, and a genuine start-over button.</x:v>
      </x:c>
      <x:c r="F30" s="45" t="str">
        <x:v>DOS-001</x:v>
      </x:c>
      <x:c r="G30" s="45" t="str">
        <x:v>KaraokeDokie — Phase 1</x:v>
      </x:c>
      <x:c r="H30" s="37" t="str">
        <x:v>Phase, module, or expansion within mapped project</x:v>
      </x:c>
      <x:c r="I30" s="38" t="str">
        <x:v>High</x:v>
      </x:c>
    </x:row>
    <x:row r="31" ht="42" customHeight="1">
      <x:c r="A31" s="78" t="n">
        <x:v>25</x:v>
      </x:c>
      <x:c r="B31" s="37" t="str">
        <x:v>Performance Blueprint</x:v>
      </x:c>
      <x:c r="C31" s="37" t="str">
        <x:v>`KD-P1`</x:v>
      </x:c>
      <x:c r="D31" s="37" t="str">
        <x:v>Karaoke🎙️Dokie: Phases, Concepts, Ideas, and Modules</x:v>
      </x:c>
      <x:c r="E31" s="37" t="str">
        <x:v>Emotional objective, phrasing, intensity, restraint/release, movement, ad-libs, opening, and closing.</x:v>
      </x:c>
      <x:c r="F31" s="45" t="str">
        <x:v>DOS-001</x:v>
      </x:c>
      <x:c r="G31" s="45" t="str">
        <x:v>KaraokeDokie — Phase 1</x:v>
      </x:c>
      <x:c r="H31" s="37" t="str">
        <x:v>Phase, module, or expansion within mapped project</x:v>
      </x:c>
      <x:c r="I31" s="38" t="str">
        <x:v>High</x:v>
      </x:c>
    </x:row>
    <x:row r="32" ht="42" customHeight="1">
      <x:c r="A32" s="78" t="n">
        <x:v>26</x:v>
      </x:c>
      <x:c r="B32" s="37" t="str">
        <x:v>Performance Personas</x:v>
      </x:c>
      <x:c r="C32" s="37" t="str">
        <x:v>`KD-P1`</x:v>
      </x:c>
      <x:c r="D32" s="37" t="str">
        <x:v>Karaoke🎙️Dokie: Phases, Concepts, Ideas, and Modules</x:v>
      </x:c>
      <x:c r="E32" s="37" t="str">
        <x:v>Three alternate interpretive identities for performing the same song.</x:v>
      </x:c>
      <x:c r="F32" s="45" t="str">
        <x:v>DOS-001</x:v>
      </x:c>
      <x:c r="G32" s="45" t="str">
        <x:v>KaraokeDokie — Phase 1</x:v>
      </x:c>
      <x:c r="H32" s="37" t="str">
        <x:v>Phase, module, or expansion within mapped project</x:v>
      </x:c>
      <x:c r="I32" s="38" t="str">
        <x:v>High</x:v>
      </x:c>
    </x:row>
    <x:row r="33" ht="42" customHeight="1">
      <x:c r="A33" s="78" t="n">
        <x:v>27</x:v>
      </x:c>
      <x:c r="B33" s="37" t="str">
        <x:v>Originality Engine</x:v>
      </x:c>
      <x:c r="C33" s="37" t="str">
        <x:v>`KD-P1`</x:v>
      </x:c>
      <x:c r="D33" s="37" t="str">
        <x:v>Karaoke🎙️Dokie: Phases, Concepts, Ideas, and Modules</x:v>
      </x:c>
      <x:c r="E33" s="37" t="str">
        <x:v>Helps the singer make the performance personal instead of photocopying the original vocalist.</x:v>
      </x:c>
      <x:c r="F33" s="45" t="str">
        <x:v>DOS-001</x:v>
      </x:c>
      <x:c r="G33" s="45" t="str">
        <x:v>KaraokeDokie — Phase 1</x:v>
      </x:c>
      <x:c r="H33" s="37" t="str">
        <x:v>Phase, module, or expansion within mapped project</x:v>
      </x:c>
      <x:c r="I33" s="38" t="str">
        <x:v>High</x:v>
      </x:c>
    </x:row>
    <x:row r="34" ht="42" customHeight="1">
      <x:c r="A34" s="78" t="n">
        <x:v>28</x:v>
      </x:c>
      <x:c r="B34" s="37" t="str">
        <x:v>Predicted Vocal Landmine Map</x:v>
      </x:c>
      <x:c r="C34" s="37" t="str">
        <x:v>`KD-P1`</x:v>
      </x:c>
      <x:c r="D34" s="37" t="str">
        <x:v>Karaoke🎙️Dokie: Phases, Concepts, Ideas, and Modules</x:v>
      </x:c>
      <x:c r="E34" s="37" t="str">
        <x:v>Anticipates difficult sections from the song/version before hearing the user.</x:v>
      </x:c>
      <x:c r="F34" s="45" t="str">
        <x:v>DOS-001</x:v>
      </x:c>
      <x:c r="G34" s="45" t="str">
        <x:v>KaraokeDokie — Phase 1</x:v>
      </x:c>
      <x:c r="H34" s="37" t="str">
        <x:v>Phase, module, or expansion within mapped project</x:v>
      </x:c>
      <x:c r="I34" s="38" t="str">
        <x:v>High</x:v>
      </x:c>
    </x:row>
    <x:row r="35" ht="42" customHeight="1">
      <x:c r="A35" s="78" t="n">
        <x:v>29</x:v>
      </x:c>
      <x:c r="B35" s="37" t="str">
        <x:v>High-Note Insurance</x:v>
      </x:c>
      <x:c r="C35" s="37" t="str">
        <x:v>`KD-P1`</x:v>
      </x:c>
      <x:c r="D35" s="37" t="str">
        <x:v>Karaoke🎙️Dokie: Phases, Concepts, Ideas, and Modules</x:v>
      </x:c>
      <x:c r="E35" s="37" t="str">
        <x:v>Full-send, modified, and emergency routes through the hardest moment.</x:v>
      </x:c>
      <x:c r="F35" s="45" t="str">
        <x:v>DOS-001</x:v>
      </x:c>
      <x:c r="G35" s="45" t="str">
        <x:v>KaraokeDokie — Phase 1</x:v>
      </x:c>
      <x:c r="H35" s="37" t="str">
        <x:v>Phase, module, or expansion within mapped project</x:v>
      </x:c>
      <x:c r="I35" s="38" t="str">
        <x:v>High</x:v>
      </x:c>
    </x:row>
    <x:row r="36" ht="42" customHeight="1">
      <x:c r="A36" s="78" t="n">
        <x:v>30</x:v>
      </x:c>
      <x:c r="B36" s="37" t="str">
        <x:v>Breath Budget</x:v>
      </x:c>
      <x:c r="C36" s="37" t="str">
        <x:v>`KD-P1`</x:v>
      </x:c>
      <x:c r="D36" s="37" t="str">
        <x:v>Karaoke🎙️Dokie: Phases, Concepts, Ideas, and Modules</x:v>
      </x:c>
      <x:c r="E36" s="37" t="str">
        <x:v>Section-based breathing and phrase-management plan.</x:v>
      </x:c>
      <x:c r="F36" s="45" t="str">
        <x:v>DOS-001</x:v>
      </x:c>
      <x:c r="G36" s="45" t="str">
        <x:v>KaraokeDokie — Phase 1</x:v>
      </x:c>
      <x:c r="H36" s="37" t="str">
        <x:v>Phase, module, or expansion within mapped project</x:v>
      </x:c>
      <x:c r="I36" s="38" t="str">
        <x:v>High</x:v>
      </x:c>
    </x:row>
    <x:row r="37" ht="42" customHeight="1">
      <x:c r="A37" s="78" t="n">
        <x:v>31</x:v>
      </x:c>
      <x:c r="B37" s="37" t="str">
        <x:v>Blank-Brain Rescue</x:v>
      </x:c>
      <x:c r="C37" s="37" t="str">
        <x:v>`KD-P1`</x:v>
      </x:c>
      <x:c r="D37" s="37" t="str">
        <x:v>Karaoke🎙️Dokie: Phases, Concepts, Ideas, and Modules</x:v>
      </x:c>
      <x:c r="E37" s="37" t="str">
        <x:v>Visual/mnemonic cues for transitions and commonly forgotten moments.</x:v>
      </x:c>
      <x:c r="F37" s="45" t="str">
        <x:v>DOS-001</x:v>
      </x:c>
      <x:c r="G37" s="45" t="str">
        <x:v>KaraokeDokie — Phase 1</x:v>
      </x:c>
      <x:c r="H37" s="37" t="str">
        <x:v>Phase, module, or expansion within mapped project</x:v>
      </x:c>
      <x:c r="I37" s="38" t="str">
        <x:v>High</x:v>
      </x:c>
    </x:row>
    <x:row r="38" ht="42" customHeight="1">
      <x:c r="A38" s="78" t="n">
        <x:v>32</x:v>
      </x:c>
      <x:c r="B38" s="37" t="str">
        <x:v>Emotion Dial</x:v>
      </x:c>
      <x:c r="C38" s="37" t="str">
        <x:v>`KD-P1`</x:v>
      </x:c>
      <x:c r="D38" s="37" t="str">
        <x:v>Karaoke🎙️Dokie: Phases, Concepts, Ideas, and Modules</x:v>
      </x:c>
      <x:c r="E38" s="37" t="str">
        <x:v>Regenerates direction using adjustable emotional percentages.</x:v>
      </x:c>
      <x:c r="F38" s="45" t="str">
        <x:v>DOS-001</x:v>
      </x:c>
      <x:c r="G38" s="45" t="str">
        <x:v>KaraokeDokie — Phase 1</x:v>
      </x:c>
      <x:c r="H38" s="37" t="str">
        <x:v>Phase, module, or expansion within mapped project</x:v>
      </x:c>
      <x:c r="I38" s="38" t="str">
        <x:v>High</x:v>
      </x:c>
    </x:row>
    <x:row r="39" ht="42" customHeight="1">
      <x:c r="A39" s="78" t="n">
        <x:v>33</x:v>
      </x:c>
      <x:c r="B39" s="37" t="str">
        <x:v>Audience Lens</x:v>
      </x:c>
      <x:c r="C39" s="37" t="str">
        <x:v>`KD-P1`</x:v>
      </x:c>
      <x:c r="D39" s="37" t="str">
        <x:v>Karaoke🎙️Dokie: Phases, Concepts, Ideas, and Modules</x:v>
      </x:c>
      <x:c r="E39" s="37" t="str">
        <x:v>Reframes a song for romance, memorial, comedy, contest, party, confession, or another context.</x:v>
      </x:c>
      <x:c r="F39" s="45" t="str">
        <x:v>DOS-001</x:v>
      </x:c>
      <x:c r="G39" s="45" t="str">
        <x:v>KaraokeDokie — Phase 1</x:v>
      </x:c>
      <x:c r="H39" s="37" t="str">
        <x:v>Phase, module, or expansion within mapped project</x:v>
      </x:c>
      <x:c r="I39" s="38" t="str">
        <x:v>High</x:v>
      </x:c>
    </x:row>
    <x:row r="40" ht="42" customHeight="1">
      <x:c r="A40" s="78" t="n">
        <x:v>34</x:v>
      </x:c>
      <x:c r="B40" s="37" t="str">
        <x:v>Mic-Manner Guide</x:v>
      </x:c>
      <x:c r="C40" s="37" t="str">
        <x:v>`KD-P1`</x:v>
      </x:c>
      <x:c r="D40" s="37" t="str">
        <x:v>Karaoke🎙️Dokie: Phases, Concepts, Ideas, and Modules</x:v>
      </x:c>
      <x:c r="E40" s="37" t="str">
        <x:v>Suggested distance, movement, volume, and restraint strategy.</x:v>
      </x:c>
      <x:c r="F40" s="45" t="str">
        <x:v>DOS-001</x:v>
      </x:c>
      <x:c r="G40" s="45" t="str">
        <x:v>KaraokeDokie — Phase 1</x:v>
      </x:c>
      <x:c r="H40" s="37" t="str">
        <x:v>Phase, module, or expansion within mapped project</x:v>
      </x:c>
      <x:c r="I40" s="38" t="str">
        <x:v>High</x:v>
      </x:c>
    </x:row>
    <x:row r="41" ht="42" customHeight="1">
      <x:c r="A41" s="78" t="n">
        <x:v>35</x:v>
      </x:c>
      <x:c r="B41" s="37" t="str">
        <x:v>Silent Rehearsal</x:v>
      </x:c>
      <x:c r="C41" s="37" t="str">
        <x:v>`KD-P1`</x:v>
      </x:c>
      <x:c r="D41" s="37" t="str">
        <x:v>Karaoke🎙️Dokie: Phases, Concepts, Ideas, and Modules</x:v>
      </x:c>
      <x:c r="E41" s="37" t="str">
        <x:v>Timing, breathing, mouth-shape, and physical rehearsal without singing aloud.</x:v>
      </x:c>
      <x:c r="F41" s="45" t="str">
        <x:v>DOS-001</x:v>
      </x:c>
      <x:c r="G41" s="45" t="str">
        <x:v>KaraokeDokie — Phase 1</x:v>
      </x:c>
      <x:c r="H41" s="37" t="str">
        <x:v>Phase, module, or expansion within mapped project</x:v>
      </x:c>
      <x:c r="I41" s="38" t="str">
        <x:v>High</x:v>
      </x:c>
    </x:row>
    <x:row r="42" ht="42" customHeight="1">
      <x:c r="A42" s="78" t="n">
        <x:v>36</x:v>
      </x:c>
      <x:c r="B42" s="37" t="str">
        <x:v>Anti-Cringe Auditor</x:v>
      </x:c>
      <x:c r="C42" s="37" t="str">
        <x:v>`KD-P1`</x:v>
      </x:c>
      <x:c r="D42" s="37" t="str">
        <x:v>Karaoke🎙️Dokie: Phases, Concepts, Ideas, and Modules</x:v>
      </x:c>
      <x:c r="E42" s="37" t="str">
        <x:v>Flags cliché captions, incoherent imagery, and theatrical bullshit past safe operating limits.</x:v>
      </x:c>
      <x:c r="F42" s="45" t="str">
        <x:v>DOS-001</x:v>
      </x:c>
      <x:c r="G42" s="45" t="str">
        <x:v>KaraokeDokie — Phase 1</x:v>
      </x:c>
      <x:c r="H42" s="37" t="str">
        <x:v>Phase, module, or expansion within mapped project</x:v>
      </x:c>
      <x:c r="I42" s="38" t="str">
        <x:v>High</x:v>
      </x:c>
    </x:row>
    <x:row r="43" ht="42" customHeight="1">
      <x:c r="A43" s="78" t="n">
        <x:v>37</x:v>
      </x:c>
      <x:c r="B43" s="37" t="str">
        <x:v>Cover Image Creator</x:v>
      </x:c>
      <x:c r="C43" s="37" t="str">
        <x:v>`KD-P1`</x:v>
      </x:c>
      <x:c r="D43" s="37" t="str">
        <x:v>Karaoke🎙️Dokie: Phases, Concepts, Ideas, and Modules</x:v>
      </x:c>
      <x:c r="E43" s="37" t="str">
        <x:v>Personalized performance cover art informed by saved and current preferences.</x:v>
      </x:c>
      <x:c r="F43" s="45" t="str">
        <x:v>DOS-001</x:v>
      </x:c>
      <x:c r="G43" s="45" t="str">
        <x:v>KaraokeDokie — Phase 1</x:v>
      </x:c>
      <x:c r="H43" s="37" t="str">
        <x:v>Phase, module, or expansion within mapped project</x:v>
      </x:c>
      <x:c r="I43" s="38" t="str">
        <x:v>High</x:v>
      </x:c>
    </x:row>
    <x:row r="44" ht="42" customHeight="1">
      <x:c r="A44" s="78" t="n">
        <x:v>38</x:v>
      </x:c>
      <x:c r="B44" s="37" t="str">
        <x:v>Twelve-Image Slideshow Story</x:v>
      </x:c>
      <x:c r="C44" s="37" t="str">
        <x:v>`KD-P1`</x:v>
      </x:c>
      <x:c r="D44" s="37" t="str">
        <x:v>Karaoke🎙️Dokie: Phases, Concepts, Ideas, and Modules</x:v>
      </x:c>
      <x:c r="E44" s="37" t="str">
        <x:v>Approximately 12 visually connected images generated from the song’s lyrical/emotional progression.</x:v>
      </x:c>
      <x:c r="F44" s="45" t="str">
        <x:v>DOS-001</x:v>
      </x:c>
      <x:c r="G44" s="45" t="str">
        <x:v>KaraokeDokie — Phase 1</x:v>
      </x:c>
      <x:c r="H44" s="37" t="str">
        <x:v>Phase, module, or expansion within mapped project</x:v>
      </x:c>
      <x:c r="I44" s="38" t="str">
        <x:v>High</x:v>
      </x:c>
    </x:row>
    <x:row r="45" ht="42" customHeight="1">
      <x:c r="A45" s="78" t="n">
        <x:v>39</x:v>
      </x:c>
      <x:c r="B45" s="37" t="str">
        <x:v>Twelfth-by-Twelfth Timing Logic</x:v>
      </x:c>
      <x:c r="C45" s="37" t="str">
        <x:v>`KD-P1`</x:v>
      </x:c>
      <x:c r="D45" s="37" t="str">
        <x:v>Karaoke🎙️Dokie: Phases, Concepts, Ideas, and Modules</x:v>
      </x:c>
      <x:c r="E45" s="37" t="str">
        <x:v>Maps each image to the appropriate portion of song duration and lyrical content.</x:v>
      </x:c>
      <x:c r="F45" s="45" t="str">
        <x:v>DOS-001</x:v>
      </x:c>
      <x:c r="G45" s="45" t="str">
        <x:v>KaraokeDokie — Phase 1</x:v>
      </x:c>
      <x:c r="H45" s="37" t="str">
        <x:v>Phase, module, or expansion within mapped project</x:v>
      </x:c>
      <x:c r="I45" s="38" t="str">
        <x:v>High</x:v>
      </x:c>
    </x:row>
    <x:row r="46" ht="42" customHeight="1">
      <x:c r="A46" s="78" t="n">
        <x:v>40</x:v>
      </x:c>
      <x:c r="B46" s="37" t="str">
        <x:v>Visual Conductor / Secret Score / CueCinema</x:v>
      </x:c>
      <x:c r="C46" s="37" t="str">
        <x:v>`KD-P1`</x:v>
      </x:c>
      <x:c r="D46" s="37" t="str">
        <x:v>Karaoke🎙️Dokie: Phases, Concepts, Ideas, and Modules</x:v>
      </x:c>
      <x:c r="E46" s="37" t="str">
        <x:v>Slideshow imagery doubles as section, intensity, breath, memory, and danger-zone cues.</x:v>
      </x:c>
      <x:c r="F46" s="45" t="str">
        <x:v>DOS-001</x:v>
      </x:c>
      <x:c r="G46" s="45" t="str">
        <x:v>KaraokeDokie — Phase 1</x:v>
      </x:c>
      <x:c r="H46" s="37" t="str">
        <x:v>Phase, module, or expansion within mapped project</x:v>
      </x:c>
      <x:c r="I46" s="38" t="str">
        <x:v>High</x:v>
      </x:c>
    </x:row>
    <x:row r="47" ht="42" customHeight="1">
      <x:c r="A47" s="78" t="n">
        <x:v>41</x:v>
      </x:c>
      <x:c r="B47" s="37" t="str">
        <x:v>Mnemonic Performance Map</x:v>
      </x:c>
      <x:c r="C47" s="37" t="str">
        <x:v>`KD-P1`</x:v>
      </x:c>
      <x:c r="D47" s="37" t="str">
        <x:v>Karaoke🎙️Dokie: Phases, Concepts, Ideas, and Modules</x:v>
      </x:c>
      <x:c r="E47" s="37" t="str">
        <x:v>The audience sees art; the singer sees a disguised navigation system.</x:v>
      </x:c>
      <x:c r="F47" s="45" t="str">
        <x:v>DOS-001</x:v>
      </x:c>
      <x:c r="G47" s="45" t="str">
        <x:v>KaraokeDokie — Phase 1</x:v>
      </x:c>
      <x:c r="H47" s="37" t="str">
        <x:v>Phase, module, or expansion within mapped project</x:v>
      </x:c>
      <x:c r="I47" s="38" t="str">
        <x:v>High</x:v>
      </x:c>
    </x:row>
    <x:row r="48" ht="42" customHeight="1">
      <x:c r="A48" s="78" t="n">
        <x:v>42</x:v>
      </x:c>
      <x:c r="B48" s="37" t="str">
        <x:v>Song World Bible</x:v>
      </x:c>
      <x:c r="C48" s="37" t="str">
        <x:v>`KD-P1`</x:v>
      </x:c>
      <x:c r="D48" s="37" t="str">
        <x:v>Karaoke🎙️Dokie: Phases, Concepts, Ideas, and Modules</x:v>
      </x:c>
      <x:c r="E48" s="37" t="str">
        <x:v>Locks characters, wardrobe, palette, locations, props, and visual rules.</x:v>
      </x:c>
      <x:c r="F48" s="45" t="str">
        <x:v>DOS-001</x:v>
      </x:c>
      <x:c r="G48" s="45" t="str">
        <x:v>KaraokeDokie — Phase 1</x:v>
      </x:c>
      <x:c r="H48" s="37" t="str">
        <x:v>Phase, module, or expansion within mapped project</x:v>
      </x:c>
      <x:c r="I48" s="38" t="str">
        <x:v>High</x:v>
      </x:c>
    </x:row>
    <x:row r="49" ht="42" customHeight="1">
      <x:c r="A49" s="78" t="n">
        <x:v>43</x:v>
      </x:c>
      <x:c r="B49" s="37" t="str">
        <x:v>Continuity Police</x:v>
      </x:c>
      <x:c r="C49" s="37" t="str">
        <x:v>`KD-P1`</x:v>
      </x:c>
      <x:c r="D49" s="37" t="str">
        <x:v>Karaoke🎙️Dokie: Phases, Concepts, Ideas, and Modules</x:v>
      </x:c>
      <x:c r="E49" s="37" t="str">
        <x:v>Detects character/style drift, broken props, random anatomy, and surprise Portuguese uncles.</x:v>
      </x:c>
      <x:c r="F49" s="45" t="str">
        <x:v>DOS-001</x:v>
      </x:c>
      <x:c r="G49" s="45" t="str">
        <x:v>KaraokeDokie — Phase 1</x:v>
      </x:c>
      <x:c r="H49" s="37" t="str">
        <x:v>Phase, module, or expansion within mapped project</x:v>
      </x:c>
      <x:c r="I49" s="38" t="str">
        <x:v>High</x:v>
      </x:c>
    </x:row>
    <x:row r="50" ht="42" customHeight="1">
      <x:c r="A50" s="78" t="n">
        <x:v>44</x:v>
      </x:c>
      <x:c r="B50" s="37" t="str">
        <x:v>Visual Leitmotif</x:v>
      </x:c>
      <x:c r="C50" s="37" t="str">
        <x:v>`KD-P1`</x:v>
      </x:c>
      <x:c r="D50" s="37" t="str">
        <x:v>Karaoke🎙️Dokie: Phases, Concepts, Ideas, and Modules</x:v>
      </x:c>
      <x:c r="E50" s="37" t="str">
        <x:v>One recurring object evolves across the entire image sequence.</x:v>
      </x:c>
      <x:c r="F50" s="45" t="str">
        <x:v>DOS-001</x:v>
      </x:c>
      <x:c r="G50" s="45" t="str">
        <x:v>KaraokeDokie — Phase 1</x:v>
      </x:c>
      <x:c r="H50" s="37" t="str">
        <x:v>Phase, module, or expansion within mapped project</x:v>
      </x:c>
      <x:c r="I50" s="38" t="str">
        <x:v>High</x:v>
      </x:c>
    </x:row>
    <x:row r="51" ht="42" customHeight="1">
      <x:c r="A51" s="78" t="n">
        <x:v>45</x:v>
      </x:c>
      <x:c r="B51" s="37" t="str">
        <x:v>Lyrics Without Lyrics</x:v>
      </x:c>
      <x:c r="C51" s="37" t="str">
        <x:v>`KD-P1`</x:v>
      </x:c>
      <x:c r="D51" s="37" t="str">
        <x:v>Karaoke🎙️Dokie: Phases, Concepts, Ideas, and Modules</x:v>
      </x:c>
      <x:c r="E51" s="37" t="str">
        <x:v>Represents lyrical concepts visually without printing copyrighted lines.</x:v>
      </x:c>
      <x:c r="F51" s="45" t="str">
        <x:v>DOS-001</x:v>
      </x:c>
      <x:c r="G51" s="45" t="str">
        <x:v>KaraokeDokie — Phase 1</x:v>
      </x:c>
      <x:c r="H51" s="37" t="str">
        <x:v>Phase, module, or expansion within mapped project</x:v>
      </x:c>
      <x:c r="I51" s="38" t="str">
        <x:v>High</x:v>
      </x:c>
    </x:row>
    <x:row r="52" ht="42" customHeight="1">
      <x:c r="A52" s="78" t="n">
        <x:v>46</x:v>
      </x:c>
      <x:c r="B52" s="37" t="str">
        <x:v>Karaoke Multiverse</x:v>
      </x:c>
      <x:c r="C52" s="37" t="str">
        <x:v>`KD-P1`</x:v>
      </x:c>
      <x:c r="D52" s="37" t="str">
        <x:v>Karaoke🎙️Dokie: Phases, Concepts, Ideas, and Modules</x:v>
      </x:c>
      <x:c r="E52" s="37" t="str">
        <x:v>Reinterprets one song as noir, fantasy, sci-fi, horror, romance, camp, or absurdist comedy.</x:v>
      </x:c>
      <x:c r="F52" s="45" t="str">
        <x:v>DOS-001</x:v>
      </x:c>
      <x:c r="G52" s="45" t="str">
        <x:v>KaraokeDokie — Phase 1</x:v>
      </x:c>
      <x:c r="H52" s="37" t="str">
        <x:v>Phase, module, or expansion within mapped project</x:v>
      </x:c>
      <x:c r="I52" s="38" t="str">
        <x:v>High</x:v>
      </x:c>
    </x:row>
    <x:row r="53" ht="42" customHeight="1">
      <x:c r="A53" s="78" t="n">
        <x:v>47</x:v>
      </x:c>
      <x:c r="B53" s="37" t="str">
        <x:v>Dual-World Duet</x:v>
      </x:c>
      <x:c r="C53" s="37" t="str">
        <x:v>`KD-P1`</x:v>
      </x:c>
      <x:c r="D53" s="37" t="str">
        <x:v>Karaoke🎙️Dokie: Phases, Concepts, Ideas, and Modules</x:v>
      </x:c>
      <x:c r="E53" s="37" t="str">
        <x:v>Each vocalist begins in a distinct visual universe that gradually merges.</x:v>
      </x:c>
      <x:c r="F53" s="45" t="str">
        <x:v>DOS-001</x:v>
      </x:c>
      <x:c r="G53" s="45" t="str">
        <x:v>KaraokeDokie — Phase 1</x:v>
      </x:c>
      <x:c r="H53" s="37" t="str">
        <x:v>Phase, module, or expansion within mapped project</x:v>
      </x:c>
      <x:c r="I53" s="38" t="str">
        <x:v>High</x:v>
      </x:c>
    </x:row>
    <x:row r="54" ht="42" customHeight="1">
      <x:c r="A54" s="78" t="n">
        <x:v>48</x:v>
      </x:c>
      <x:c r="B54" s="37" t="str">
        <x:v>Tiny Thumbnail Tribunal</x:v>
      </x:c>
      <x:c r="C54" s="37" t="str">
        <x:v>`KD-P1`</x:v>
      </x:c>
      <x:c r="D54" s="37" t="str">
        <x:v>Karaoke🎙️Dokie: Phases, Concepts, Ideas, and Modules</x:v>
      </x:c>
      <x:c r="E54" s="37" t="str">
        <x:v>Scores artwork at real feed-thumbnail size instead of admiring a gigantic lie.</x:v>
      </x:c>
      <x:c r="F54" s="45" t="str">
        <x:v>DOS-001</x:v>
      </x:c>
      <x:c r="G54" s="45" t="str">
        <x:v>KaraokeDokie — Phase 1</x:v>
      </x:c>
      <x:c r="H54" s="37" t="str">
        <x:v>Phase, module, or expansion within mapped project</x:v>
      </x:c>
      <x:c r="I54" s="38" t="str">
        <x:v>High</x:v>
      </x:c>
    </x:row>
    <x:row r="55" ht="42" customHeight="1">
      <x:c r="A55" s="78" t="n">
        <x:v>49</x:v>
      </x:c>
      <x:c r="B55" s="37" t="str">
        <x:v>Platform-Safe Layout</x:v>
      </x:c>
      <x:c r="C55" s="37" t="str">
        <x:v>`KD-P1`</x:v>
      </x:c>
      <x:c r="D55" s="37" t="str">
        <x:v>Karaoke🎙️Dokie: Phases, Concepts, Ideas, and Modules</x:v>
      </x:c>
      <x:c r="E55" s="37" t="str">
        <x:v>Creates crop variants, safe zones, and text placement for external karaoke/social platforms.</x:v>
      </x:c>
      <x:c r="F55" s="45" t="str">
        <x:v>DOS-001</x:v>
      </x:c>
      <x:c r="G55" s="45" t="str">
        <x:v>KaraokeDokie — Phase 1</x:v>
      </x:c>
      <x:c r="H55" s="37" t="str">
        <x:v>Phase, module, or expansion within mapped project</x:v>
      </x:c>
      <x:c r="I55" s="38" t="str">
        <x:v>High</x:v>
      </x:c>
    </x:row>
    <x:row r="56" ht="42" customHeight="1">
      <x:c r="A56" s="78" t="n">
        <x:v>50</x:v>
      </x:c>
      <x:c r="B56" s="37" t="str">
        <x:v>Numbered Export + Placement Guide</x:v>
      </x:c>
      <x:c r="C56" s="37" t="str">
        <x:v>`KD-P1`</x:v>
      </x:c>
      <x:c r="D56" s="37" t="str">
        <x:v>Karaoke🎙️Dokie: Phases, Concepts, Ideas, and Modules</x:v>
      </x:c>
      <x:c r="E56" s="37" t="str">
        <x:v>Correct file order, timestamps, thumbnail preview, and insertion instructions.</x:v>
      </x:c>
      <x:c r="F56" s="45" t="str">
        <x:v>DOS-001</x:v>
      </x:c>
      <x:c r="G56" s="45" t="str">
        <x:v>KaraokeDokie — Phase 1</x:v>
      </x:c>
      <x:c r="H56" s="37" t="str">
        <x:v>Phase, module, or expansion within mapped project</x:v>
      </x:c>
      <x:c r="I56" s="38" t="str">
        <x:v>High</x:v>
      </x:c>
    </x:row>
    <x:row r="57" ht="42" customHeight="1">
      <x:c r="A57" s="78" t="n">
        <x:v>51</x:v>
      </x:c>
      <x:c r="B57" s="37" t="str">
        <x:v>Motion-Ready Image Pack</x:v>
      </x:c>
      <x:c r="C57" s="37" t="str">
        <x:v>`KD-P1`</x:v>
      </x:c>
      <x:c r="D57" s="37" t="str">
        <x:v>Karaoke🎙️Dokie: Phases, Concepts, Ideas, and Modules</x:v>
      </x:c>
      <x:c r="E57" s="37" t="str">
        <x:v>Compositions designed for later parallax, animation, or video movement.</x:v>
      </x:c>
      <x:c r="F57" s="45" t="str">
        <x:v>DOS-001</x:v>
      </x:c>
      <x:c r="G57" s="45" t="str">
        <x:v>KaraokeDokie — Phase 1</x:v>
      </x:c>
      <x:c r="H57" s="37" t="str">
        <x:v>Phase, module, or expansion within mapped project</x:v>
      </x:c>
      <x:c r="I57" s="38" t="str">
        <x:v>High</x:v>
      </x:c>
    </x:row>
    <x:row r="58" ht="42" customHeight="1">
      <x:c r="A58" s="78" t="n">
        <x:v>52</x:v>
      </x:c>
      <x:c r="B58" s="37" t="str">
        <x:v>Performer Insertion</x:v>
      </x:c>
      <x:c r="C58" s="37" t="str">
        <x:v>`KD-P1`</x:v>
      </x:c>
      <x:c r="D58" s="37" t="str">
        <x:v>Karaoke🎙️Dokie: Phases, Concepts, Ideas, and Modules</x:v>
      </x:c>
      <x:c r="E58" s="37" t="str">
        <x:v>Optional selfies place the singer consistently inside the story.</x:v>
      </x:c>
      <x:c r="F58" s="45" t="str">
        <x:v>DOS-001</x:v>
      </x:c>
      <x:c r="G58" s="45" t="str">
        <x:v>KaraokeDokie — Phase 1</x:v>
      </x:c>
      <x:c r="H58" s="37" t="str">
        <x:v>Phase, module, or expansion within mapped project</x:v>
      </x:c>
      <x:c r="I58" s="38" t="str">
        <x:v>High</x:v>
      </x:c>
    </x:row>
    <x:row r="59" ht="42" customHeight="1">
      <x:c r="A59" s="78" t="n">
        <x:v>53</x:v>
      </x:c>
      <x:c r="B59" s="37" t="str">
        <x:v>Dedication / Tribute Mode</x:v>
      </x:c>
      <x:c r="C59" s="37" t="str">
        <x:v>`KD-P1`</x:v>
      </x:c>
      <x:c r="D59" s="37" t="str">
        <x:v>Karaoke🎙️Dokie: Phases, Concepts, Ideas, and Modules</x:v>
      </x:c>
      <x:c r="E59" s="37" t="str">
        <x:v>Birthdays, weddings, memorials, anniversaries, breakups, comebacks, and fundraisers.</x:v>
      </x:c>
      <x:c r="F59" s="45" t="str">
        <x:v>DOS-001</x:v>
      </x:c>
      <x:c r="G59" s="45" t="str">
        <x:v>KaraokeDokie — Phase 1</x:v>
      </x:c>
      <x:c r="H59" s="37" t="str">
        <x:v>Phase, module, or expansion within mapped project</x:v>
      </x:c>
      <x:c r="I59" s="38" t="str">
        <x:v>High</x:v>
      </x:c>
    </x:row>
    <x:row r="60" ht="42" customHeight="1">
      <x:c r="A60" s="78" t="n">
        <x:v>54</x:v>
      </x:c>
      <x:c r="B60" s="37" t="str">
        <x:v>Fan Cameos</x:v>
      </x:c>
      <x:c r="C60" s="37" t="str">
        <x:v>`KD-P1`</x:v>
      </x:c>
      <x:c r="D60" s="37" t="str">
        <x:v>Karaoke🎙️Dokie: Phases, Concepts, Ideas, and Modules</x:v>
      </x:c>
      <x:c r="E60" s="37" t="str">
        <x:v>Approved supporter photos appear inside the visual story.</x:v>
      </x:c>
      <x:c r="F60" s="45" t="str">
        <x:v>DOS-001</x:v>
      </x:c>
      <x:c r="G60" s="45" t="str">
        <x:v>KaraokeDokie — Phase 1</x:v>
      </x:c>
      <x:c r="H60" s="37" t="str">
        <x:v>Phase, module, or expansion within mapped project</x:v>
      </x:c>
      <x:c r="I60" s="38" t="str">
        <x:v>High</x:v>
      </x:c>
    </x:row>
    <x:row r="61" ht="42" customHeight="1">
      <x:c r="A61" s="78" t="n">
        <x:v>55</x:v>
      </x:c>
      <x:c r="B61" s="37" t="str">
        <x:v>Sponsored Dedication</x:v>
      </x:c>
      <x:c r="C61" s="37" t="str">
        <x:v>`KD-P1`</x:v>
      </x:c>
      <x:c r="D61" s="37" t="str">
        <x:v>Karaoke🎙️Dokie: Phases, Concepts, Ideas, and Modules</x:v>
      </x:c>
      <x:c r="E61" s="37" t="str">
        <x:v>A patron funds premium production and receives tasteful credit.</x:v>
      </x:c>
      <x:c r="F61" s="45" t="str">
        <x:v>DOS-001</x:v>
      </x:c>
      <x:c r="G61" s="45" t="str">
        <x:v>KaraokeDokie — Phase 1</x:v>
      </x:c>
      <x:c r="H61" s="37" t="str">
        <x:v>Phase, module, or expansion within mapped project</x:v>
      </x:c>
      <x:c r="I61" s="38" t="str">
        <x:v>High</x:v>
      </x:c>
    </x:row>
    <x:row r="62" ht="42" customHeight="1">
      <x:c r="A62" s="78" t="n">
        <x:v>56</x:v>
      </x:c>
      <x:c r="B62" s="37" t="str">
        <x:v>Publishing Pack</x:v>
      </x:c>
      <x:c r="C62" s="37" t="str">
        <x:v>`KD-P1`</x:v>
      </x:c>
      <x:c r="D62" s="37" t="str">
        <x:v>Karaoke🎙️Dokie: Phases, Concepts, Ideas, and Modules</x:v>
      </x:c>
      <x:c r="E62" s="37" t="str">
        <x:v>Title, short/long captions, dedication, hashtags, teaser, pinned comment, credits, thumbnails, and concept explanation.</x:v>
      </x:c>
      <x:c r="F62" s="45" t="str">
        <x:v>DOS-001</x:v>
      </x:c>
      <x:c r="G62" s="45" t="str">
        <x:v>KaraokeDokie — Phase 1</x:v>
      </x:c>
      <x:c r="H62" s="37" t="str">
        <x:v>Phase, module, or expansion within mapped project</x:v>
      </x:c>
      <x:c r="I62" s="38" t="str">
        <x:v>High</x:v>
      </x:c>
    </x:row>
    <x:row r="63" ht="42" customHeight="1">
      <x:c r="A63" s="78" t="n">
        <x:v>57</x:v>
      </x:c>
      <x:c r="B63" s="37" t="str">
        <x:v>Duet Invitation Card</x:v>
      </x:c>
      <x:c r="C63" s="37" t="str">
        <x:v>`KD-P1`</x:v>
      </x:c>
      <x:c r="D63" s="37" t="str">
        <x:v>Karaoke🎙️Dokie: Phases, Concepts, Ideas, and Modules</x:v>
      </x:c>
      <x:c r="E63" s="37" t="str">
        <x:v>Personalized challenge image and invitation copy.</x:v>
      </x:c>
      <x:c r="F63" s="45" t="str">
        <x:v>DOS-001</x:v>
      </x:c>
      <x:c r="G63" s="45" t="str">
        <x:v>KaraokeDokie — Phase 1</x:v>
      </x:c>
      <x:c r="H63" s="37" t="str">
        <x:v>Phase, module, or expansion within mapped project</x:v>
      </x:c>
      <x:c r="I63" s="38" t="str">
        <x:v>High</x:v>
      </x:c>
    </x:row>
    <x:row r="64" ht="42" customHeight="1">
      <x:c r="A64" s="78" t="n">
        <x:v>58</x:v>
      </x:c>
      <x:c r="B64" s="37" t="str">
        <x:v>Performance Premiere Kit</x:v>
      </x:c>
      <x:c r="C64" s="37" t="str">
        <x:v>`KD-P1`</x:v>
      </x:c>
      <x:c r="D64" s="37" t="str">
        <x:v>Karaoke🎙️Dokie: Phases, Concepts, Ideas, and Modules</x:v>
      </x:c>
      <x:c r="E64" s="37" t="str">
        <x:v>Countdown, teaser, release card, and follow-up assets.</x:v>
      </x:c>
      <x:c r="F64" s="45" t="str">
        <x:v>DOS-001</x:v>
      </x:c>
      <x:c r="G64" s="45" t="str">
        <x:v>KaraokeDokie — Phase 1</x:v>
      </x:c>
      <x:c r="H64" s="37" t="str">
        <x:v>Phase, module, or expansion within mapped project</x:v>
      </x:c>
      <x:c r="I64" s="38" t="str">
        <x:v>High</x:v>
      </x:c>
    </x:row>
    <x:row r="65" ht="42" customHeight="1">
      <x:c r="A65" s="78" t="n">
        <x:v>59</x:v>
      </x:c>
      <x:c r="B65" s="37" t="str">
        <x:v>Performance Receipt</x:v>
      </x:c>
      <x:c r="C65" s="37" t="str">
        <x:v>`KD-P1`</x:v>
      </x:c>
      <x:c r="D65" s="37" t="str">
        <x:v>Karaoke🎙️Dokie: Phases, Concepts, Ideas, and Modules</x:v>
      </x:c>
      <x:c r="E65" s="37" t="str">
        <x:v>Attractive permanent record of song, singer, concept, date, collaborators, and production details.</x:v>
      </x:c>
      <x:c r="F65" s="45" t="str">
        <x:v>DOS-001</x:v>
      </x:c>
      <x:c r="G65" s="45" t="str">
        <x:v>KaraokeDokie — Phase 1</x:v>
      </x:c>
      <x:c r="H65" s="37" t="str">
        <x:v>Phase, module, or expansion within mapped project</x:v>
      </x:c>
      <x:c r="I65" s="38" t="str">
        <x:v>High</x:v>
      </x:c>
    </x:row>
    <x:row r="66" ht="42" customHeight="1">
      <x:c r="A66" s="78" t="n">
        <x:v>60</x:v>
      </x:c>
      <x:c r="B66" s="37" t="str">
        <x:v>Share Card System</x:v>
      </x:c>
      <x:c r="C66" s="37" t="str">
        <x:v>`KD-P1`</x:v>
      </x:c>
      <x:c r="D66" s="37" t="str">
        <x:v>Karaoke🎙️Dokie: Phases, Concepts, Ideas, and Modules</x:v>
      </x:c>
      <x:c r="E66" s="37" t="str">
        <x:v>Portable visual summary for feeds, messages, portfolios, and recognition products.</x:v>
      </x:c>
      <x:c r="F66" s="45" t="str">
        <x:v>DOS-001</x:v>
      </x:c>
      <x:c r="G66" s="45" t="str">
        <x:v>KaraokeDokie — Phase 1</x:v>
      </x:c>
      <x:c r="H66" s="37" t="str">
        <x:v>Phase, module, or expansion within mapped project</x:v>
      </x:c>
      <x:c r="I66" s="38" t="str">
        <x:v>High</x:v>
      </x:c>
    </x:row>
    <x:row r="67" ht="42" customHeight="1">
      <x:c r="A67" s="78" t="n">
        <x:v>61</x:v>
      </x:c>
      <x:c r="B67" s="37" t="str">
        <x:v>Visual-Style Marketplace</x:v>
      </x:c>
      <x:c r="C67" s="37" t="str">
        <x:v>`KD-X`</x:v>
      </x:c>
      <x:c r="D67" s="37" t="str">
        <x:v>Karaoke🎙️Dokie: Phases, Concepts, Ideas, and Modules</x:v>
      </x:c>
      <x:c r="E67" s="37" t="str">
        <x:v>Creators sell reusable direction/preset packs.</x:v>
      </x:c>
      <x:c r="F67" s="45" t="str">
        <x:v>DOS-001</x:v>
      </x:c>
      <x:c r="G67" s="45" t="str">
        <x:v>KaraokeDokie — Phase 1</x:v>
      </x:c>
      <x:c r="H67" s="37" t="str">
        <x:v>Phase, module, or expansion within mapped project</x:v>
      </x:c>
      <x:c r="I67" s="38" t="str">
        <x:v>High</x:v>
      </x:c>
    </x:row>
    <x:row r="68" ht="42" customHeight="1">
      <x:c r="A68" s="78" t="n">
        <x:v>62</x:v>
      </x:c>
      <x:c r="B68" s="37" t="str">
        <x:v>Free Preview Tier</x:v>
      </x:c>
      <x:c r="C68" s="37" t="str">
        <x:v>`KD-P1`, business model</x:v>
      </x:c>
      <x:c r="D68" s="37" t="str">
        <x:v>Karaoke🎙️Dokie: Phases, Concepts, Ideas, and Modules</x:v>
      </x:c>
      <x:c r="E68" s="37" t="str">
        <x:v>Song ID, one direction, cover preview, and condensed advice.</x:v>
      </x:c>
      <x:c r="F68" s="45" t="str">
        <x:v>DOS-001</x:v>
      </x:c>
      <x:c r="G68" s="45" t="str">
        <x:v>KaraokeDokie — Phase 1</x:v>
      </x:c>
      <x:c r="H68" s="37" t="str">
        <x:v>Phase, module, or expansion within mapped project</x:v>
      </x:c>
      <x:c r="I68" s="38" t="str">
        <x:v>High</x:v>
      </x:c>
    </x:row>
    <x:row r="69" ht="42" customHeight="1">
      <x:c r="A69" s="78" t="n">
        <x:v>63</x:v>
      </x:c>
      <x:c r="B69" s="37" t="str">
        <x:v>Performance Pack</x:v>
      </x:c>
      <x:c r="C69" s="37" t="str">
        <x:v>`KD-P1`, business model</x:v>
      </x:c>
      <x:c r="D69" s="37" t="str">
        <x:v>Karaoke🎙️Dokie: Phases, Concepts, Ideas, and Modules</x:v>
      </x:c>
      <x:c r="E69" s="37" t="str">
        <x:v>Proposed ≈$3.99 cover + 12-image story + sync guide + blueprint + publishing assets.</x:v>
      </x:c>
      <x:c r="F69" s="45" t="str">
        <x:v>DOS-001</x:v>
      </x:c>
      <x:c r="G69" s="45" t="str">
        <x:v>KaraokeDokie — Phase 1</x:v>
      </x:c>
      <x:c r="H69" s="37" t="str">
        <x:v>Phase, module, or expansion within mapped project</x:v>
      </x:c>
      <x:c r="I69" s="38" t="str">
        <x:v>High</x:v>
      </x:c>
    </x:row>
    <x:row r="70" ht="42" customHeight="1">
      <x:c r="A70" s="78" t="n">
        <x:v>64</x:v>
      </x:c>
      <x:c r="B70" s="37" t="str">
        <x:v>Premium Dedication Pack</x:v>
      </x:c>
      <x:c r="C70" s="37" t="str">
        <x:v>`KD-P1`, business model</x:v>
      </x:c>
      <x:c r="D70" s="37" t="str">
        <x:v>Karaoke🎙️Dokie: Phases, Concepts, Ideas, and Modules</x:v>
      </x:c>
      <x:c r="E70" s="37" t="str">
        <x:v>Proposed ≈$7.99–$12.99 custom tribute narrative, photos, and premium sharing assets.</x:v>
      </x:c>
      <x:c r="F70" s="45" t="str">
        <x:v>DOS-001</x:v>
      </x:c>
      <x:c r="G70" s="45" t="str">
        <x:v>KaraokeDokie — Phase 1</x:v>
      </x:c>
      <x:c r="H70" s="37" t="str">
        <x:v>Phase, module, or expansion within mapped project</x:v>
      </x:c>
      <x:c r="I70" s="38" t="str">
        <x:v>High</x:v>
      </x:c>
    </x:row>
    <x:row r="71" ht="42" customHeight="1">
      <x:c r="A71" s="78" t="n">
        <x:v>65</x:v>
      </x:c>
      <x:c r="B71" s="37" t="str">
        <x:v>Phase 1.5: Optional-Light-Input Layer</x:v>
      </x:c>
      <x:c r="C71" s="37" t="str">
        <x:v>`KD-P1.5`</x:v>
      </x:c>
      <x:c r="D71" s="37" t="str">
        <x:v>Karaoke🎙️Dokie: Phases, Concepts, Ideas, and Modules</x:v>
      </x:c>
      <x:c r="E71" s="37" t="str">
        <x:v>Title remains sufficient, but tiny optional inputs improve personalization.</x:v>
      </x:c>
      <x:c r="F71" s="45" t="str">
        <x:v>DOS-001</x:v>
      </x:c>
      <x:c r="G71" s="45" t="str">
        <x:v>KaraokeDokie — Phase 1</x:v>
      </x:c>
      <x:c r="H71" s="37" t="str">
        <x:v>Phase, module, or expansion within mapped project</x:v>
      </x:c>
      <x:c r="I71" s="38" t="str">
        <x:v>High</x:v>
      </x:c>
    </x:row>
    <x:row r="72" ht="42" customHeight="1">
      <x:c r="A72" s="78" t="n">
        <x:v>66</x:v>
      </x:c>
      <x:c r="B72" s="37" t="str">
        <x:v>Range Calibration</x:v>
      </x:c>
      <x:c r="C72" s="37" t="str">
        <x:v>`KD-P1.5`</x:v>
      </x:c>
      <x:c r="D72" s="37" t="str">
        <x:v>Karaoke🎙️Dokie: Phases, Concepts, Ideas, and Modules</x:v>
      </x:c>
      <x:c r="E72" s="37" t="str">
        <x:v>Optional ten-second hum or quick range check.</x:v>
      </x:c>
      <x:c r="F72" s="45" t="str">
        <x:v>DOS-001</x:v>
      </x:c>
      <x:c r="G72" s="45" t="str">
        <x:v>KaraokeDokie — Phase 1</x:v>
      </x:c>
      <x:c r="H72" s="37" t="str">
        <x:v>Phase, module, or expansion within mapped project</x:v>
      </x:c>
      <x:c r="I72" s="38" t="str">
        <x:v>High</x:v>
      </x:c>
    </x:row>
    <x:row r="73" ht="42" customHeight="1">
      <x:c r="A73" s="78" t="n">
        <x:v>67</x:v>
      </x:c>
      <x:c r="B73" s="37" t="str">
        <x:v>Identity Inputs</x:v>
      </x:c>
      <x:c r="C73" s="37" t="str">
        <x:v>`KD-P1.5`</x:v>
      </x:c>
      <x:c r="D73" s="37" t="str">
        <x:v>Karaoke🎙️Dokie: Phases, Concepts, Ideas, and Modules</x:v>
      </x:c>
      <x:c r="E73" s="37" t="str">
        <x:v>Optional selfie and duet-partner profile.</x:v>
      </x:c>
      <x:c r="F73" s="45" t="str">
        <x:v>DOS-001</x:v>
      </x:c>
      <x:c r="G73" s="45" t="str">
        <x:v>KaraokeDokie — Phase 1</x:v>
      </x:c>
      <x:c r="H73" s="37" t="str">
        <x:v>Phase, module, or expansion within mapped project</x:v>
      </x:c>
      <x:c r="I73" s="38" t="str">
        <x:v>High</x:v>
      </x:c>
    </x:row>
    <x:row r="74" ht="42" customHeight="1">
      <x:c r="A74" s="78" t="n">
        <x:v>68</x:v>
      </x:c>
      <x:c r="B74" s="37" t="str">
        <x:v>Version Inputs</x:v>
      </x:c>
      <x:c r="C74" s="37" t="str">
        <x:v>`KD-P1.5`</x:v>
      </x:c>
      <x:c r="D74" s="37" t="str">
        <x:v>Karaoke🎙️Dokie: Phases, Concepts, Ideas, and Modules</x:v>
      </x:c>
      <x:c r="E74" s="37" t="str">
        <x:v>Preferred key and exact karaoke-version/performance link.</x:v>
      </x:c>
      <x:c r="F74" s="45" t="str">
        <x:v>DOS-001</x:v>
      </x:c>
      <x:c r="G74" s="45" t="str">
        <x:v>KaraokeDokie — Phase 1</x:v>
      </x:c>
      <x:c r="H74" s="37" t="str">
        <x:v>Phase, module, or expansion within mapped project</x:v>
      </x:c>
      <x:c r="I74" s="38" t="str">
        <x:v>High</x:v>
      </x:c>
    </x:row>
    <x:row r="75" ht="42" customHeight="1">
      <x:c r="A75" s="78" t="n">
        <x:v>69</x:v>
      </x:c>
      <x:c r="B75" s="37" t="str">
        <x:v>Context Inputs</x:v>
      </x:c>
      <x:c r="C75" s="37" t="str">
        <x:v>`KD-P1.5`</x:v>
      </x:c>
      <x:c r="D75" s="37" t="str">
        <x:v>Karaoke🎙️Dokie: Phases, Concepts, Ideas, and Modules</x:v>
      </x:c>
      <x:c r="E75" s="37" t="str">
        <x:v>Occasion, dedication, audience, desired emotion, and available rehearsal time.</x:v>
      </x:c>
      <x:c r="F75" s="45" t="str">
        <x:v>DOS-001</x:v>
      </x:c>
      <x:c r="G75" s="45" t="str">
        <x:v>KaraokeDokie — Phase 1</x:v>
      </x:c>
      <x:c r="H75" s="37" t="str">
        <x:v>Phase, module, or expansion within mapped project</x:v>
      </x:c>
      <x:c r="I75" s="38" t="str">
        <x:v>High</x:v>
      </x:c>
    </x:row>
    <x:row r="76" ht="42" customHeight="1">
      <x:c r="A76" s="78" t="n">
        <x:v>70</x:v>
      </x:c>
      <x:c r="B76" s="37" t="str">
        <x:v>“What Scares You?” Input</x:v>
      </x:c>
      <x:c r="C76" s="37" t="str">
        <x:v>`KD-P1.5`</x:v>
      </x:c>
      <x:c r="D76" s="37" t="str">
        <x:v>Karaoke🎙️Dokie: Phases, Concepts, Ideas, and Modules</x:v>
      </x:c>
      <x:c r="E76" s="37" t="str">
        <x:v>One targeted question that steers practical coaching toward the actual problem.</x:v>
      </x:c>
      <x:c r="F76" s="45" t="str">
        <x:v>DOS-001</x:v>
      </x:c>
      <x:c r="G76" s="45" t="str">
        <x:v>KaraokeDokie — Phase 1</x:v>
      </x:c>
      <x:c r="H76" s="37" t="str">
        <x:v>Phase, module, or expansion within mapped project</x:v>
      </x:c>
      <x:c r="I76" s="38" t="str">
        <x:v>High</x:v>
      </x:c>
    </x:row>
    <x:row r="77" ht="42" customHeight="1">
      <x:c r="A77" s="78" t="n">
        <x:v>71</x:v>
      </x:c>
      <x:c r="B77" s="37" t="str">
        <x:v>Song-Specific Warmup</x:v>
      </x:c>
      <x:c r="C77" s="37" t="str">
        <x:v>`KD-P1.5`</x:v>
      </x:c>
      <x:c r="D77" s="37" t="str">
        <x:v>Karaoke🎙️Dokie: Phases, Concepts, Ideas, and Modules</x:v>
      </x:c>
      <x:c r="E77" s="37" t="str">
        <x:v>Three-, five-, or ten-minute routine tailored to the selected song.</x:v>
      </x:c>
      <x:c r="F77" s="45" t="str">
        <x:v>DOS-001</x:v>
      </x:c>
      <x:c r="G77" s="45" t="str">
        <x:v>KaraokeDokie — Phase 1</x:v>
      </x:c>
      <x:c r="H77" s="37" t="str">
        <x:v>Phase, module, or expansion within mapped project</x:v>
      </x:c>
      <x:c r="I77" s="38" t="str">
        <x:v>High</x:v>
      </x:c>
    </x:row>
    <x:row r="78" ht="42" customHeight="1">
      <x:c r="A78" s="78" t="n">
        <x:v>72</x:v>
      </x:c>
      <x:c r="B78" s="37" t="str">
        <x:v>Rehearsal Capsule</x:v>
      </x:c>
      <x:c r="C78" s="37" t="str">
        <x:v>`KD-P1.5`</x:v>
      </x:c>
      <x:c r="D78" s="37" t="str">
        <x:v>Karaoke🎙️Dokie: Phases, Concepts, Ideas, and Modules</x:v>
      </x:c>
      <x:c r="E78" s="37" t="str">
        <x:v>Five-, fifteen-, and thirty-minute practice plans.</x:v>
      </x:c>
      <x:c r="F78" s="45" t="str">
        <x:v>DOS-001</x:v>
      </x:c>
      <x:c r="G78" s="45" t="str">
        <x:v>KaraokeDokie — Phase 1</x:v>
      </x:c>
      <x:c r="H78" s="37" t="str">
        <x:v>Phase, module, or expansion within mapped project</x:v>
      </x:c>
      <x:c r="I78" s="38" t="str">
        <x:v>High</x:v>
      </x:c>
    </x:row>
    <x:row r="79" ht="42" customHeight="1">
      <x:c r="A79" s="78" t="n">
        <x:v>73</x:v>
      </x:c>
      <x:c r="B79" s="37" t="str">
        <x:v>Duet Architect</x:v>
      </x:c>
      <x:c r="C79" s="37" t="str">
        <x:v>`KD-P1.5`</x:v>
      </x:c>
      <x:c r="D79" s="37" t="str">
        <x:v>Karaoke🎙️Dokie: Phases, Concepts, Ideas, and Modules</x:v>
      </x:c>
      <x:c r="E79" s="37" t="str">
        <x:v>Divides roles, lyrics/sections, perspectives, spotlight, harmonies, and visual worlds.</x:v>
      </x:c>
      <x:c r="F79" s="45" t="str">
        <x:v>DOS-001</x:v>
      </x:c>
      <x:c r="G79" s="45" t="str">
        <x:v>KaraokeDokie — Phase 1</x:v>
      </x:c>
      <x:c r="H79" s="37" t="str">
        <x:v>Phase, module, or expansion within mapped project</x:v>
      </x:c>
      <x:c r="I79" s="38" t="str">
        <x:v>High</x:v>
      </x:c>
    </x:row>
    <x:row r="80" ht="42" customHeight="1">
      <x:c r="A80" s="78" t="n">
        <x:v>74</x:v>
      </x:c>
      <x:c r="B80" s="37" t="str">
        <x:v>Harmony Finder</x:v>
      </x:c>
      <x:c r="C80" s="37" t="str">
        <x:v>`KD-P1.5`/`KD-P2`</x:v>
      </x:c>
      <x:c r="D80" s="37" t="str">
        <x:v>Karaoke🎙️Dokie: Phases, Concepts, Ideas, and Modules</x:v>
      </x:c>
      <x:c r="E80" s="37" t="str">
        <x:v>Suggests usable harmony lines and collaboration options for the selected song.</x:v>
      </x:c>
      <x:c r="F80" s="45" t="str">
        <x:v>DOS-001</x:v>
      </x:c>
      <x:c r="G80" s="45" t="str">
        <x:v>KaraokeDokie — Phase 1</x:v>
      </x:c>
      <x:c r="H80" s="37" t="str">
        <x:v>Phase, module, or expansion within mapped project</x:v>
      </x:c>
      <x:c r="I80" s="38" t="str">
        <x:v>High</x:v>
      </x:c>
    </x:row>
    <x:row r="81" ht="42" customHeight="1">
      <x:c r="A81" s="78" t="n">
        <x:v>75</x:v>
      </x:c>
      <x:c r="B81" s="37" t="str">
        <x:v>Phase 2: Uploaded-Performance Intelligence</x:v>
      </x:c>
      <x:c r="C81" s="37" t="str">
        <x:v>`KD-P2`</x:v>
      </x:c>
      <x:c r="D81" s="37" t="str">
        <x:v>Karaoke🎙️Dokie: Phases, Concepts, Ideas, and Modules</x:v>
      </x:c>
      <x:c r="E81" s="37" t="str">
        <x:v>Users bring MP3/MP4 audio or video after performing elsewhere.</x:v>
      </x:c>
      <x:c r="F81" s="45" t="str">
        <x:v>DOS-002</x:v>
      </x:c>
      <x:c r="G81" s="45" t="str">
        <x:v>KaraokeDokie — Media Intelligence &amp; Phase 2</x:v>
      </x:c>
      <x:c r="H81" s="37" t="str">
        <x:v>Phase, module, or expansion within mapped project</x:v>
      </x:c>
      <x:c r="I81" s="38" t="str">
        <x:v>High</x:v>
      </x:c>
    </x:row>
    <x:row r="82" ht="42" customHeight="1">
      <x:c r="A82" s="78" t="n">
        <x:v>76</x:v>
      </x:c>
      <x:c r="B82" s="37" t="str">
        <x:v>Performance Autopsy</x:v>
      </x:c>
      <x:c r="C82" s="37" t="str">
        <x:v>`KD-P2`</x:v>
      </x:c>
      <x:c r="D82" s="37" t="str">
        <x:v>Karaoke🎙️Dokie: Phases, Concepts, Ideas, and Modules</x:v>
      </x:c>
      <x:c r="E82" s="37" t="str">
        <x:v>Timestamped strengths, failures, and highest-value fixes.</x:v>
      </x:c>
      <x:c r="F82" s="45" t="str">
        <x:v>DOS-002</x:v>
      </x:c>
      <x:c r="G82" s="45" t="str">
        <x:v>KaraokeDokie — Media Intelligence &amp; Phase 2</x:v>
      </x:c>
      <x:c r="H82" s="37" t="str">
        <x:v>Phase, module, or expansion within mapped project</x:v>
      </x:c>
      <x:c r="I82" s="38" t="str">
        <x:v>High</x:v>
      </x:c>
    </x:row>
    <x:row r="83" ht="42" customHeight="1">
      <x:c r="A83" s="78" t="n">
        <x:v>77</x:v>
      </x:c>
      <x:c r="B83" s="37" t="str">
        <x:v>AI Critique + Rating</x:v>
      </x:c>
      <x:c r="C83" s="37" t="str">
        <x:v>`KD-P2`</x:v>
      </x:c>
      <x:c r="D83" s="37" t="str">
        <x:v>Karaoke🎙️Dokie: Phases, Concepts, Ideas, and Modules</x:v>
      </x:c>
      <x:c r="E83" s="37" t="str">
        <x:v>Structured feedback and scoring for a finished performance.</x:v>
      </x:c>
      <x:c r="F83" s="45" t="str">
        <x:v>DOS-002</x:v>
      </x:c>
      <x:c r="G83" s="45" t="str">
        <x:v>KaraokeDokie — Media Intelligence &amp; Phase 2</x:v>
      </x:c>
      <x:c r="H83" s="37" t="str">
        <x:v>Phase, module, or expansion within mapped project</x:v>
      </x:c>
      <x:c r="I83" s="38" t="str">
        <x:v>High</x:v>
      </x:c>
    </x:row>
    <x:row r="84" ht="42" customHeight="1">
      <x:c r="A84" s="78" t="n">
        <x:v>78</x:v>
      </x:c>
      <x:c r="B84" s="37" t="str">
        <x:v>Actual Vocal Landmine Detection</x:v>
      </x:c>
      <x:c r="C84" s="37" t="str">
        <x:v>`KD-P2`</x:v>
      </x:c>
      <x:c r="D84" s="37" t="str">
        <x:v>Karaoke🎙️Dokie: Phases, Concepts, Ideas, and Modules</x:v>
      </x:c>
      <x:c r="E84" s="37" t="str">
        <x:v>Finds real pitch, timing, breath, diction, and control problems.</x:v>
      </x:c>
      <x:c r="F84" s="45" t="str">
        <x:v>DOS-002</x:v>
      </x:c>
      <x:c r="G84" s="45" t="str">
        <x:v>KaraokeDokie — Media Intelligence &amp; Phase 2</x:v>
      </x:c>
      <x:c r="H84" s="37" t="str">
        <x:v>Phase, module, or expansion within mapped project</x:v>
      </x:c>
      <x:c r="I84" s="38" t="str">
        <x:v>High</x:v>
      </x:c>
    </x:row>
    <x:row r="85" ht="42" customHeight="1">
      <x:c r="A85" s="78" t="n">
        <x:v>79</x:v>
      </x:c>
      <x:c r="B85" s="37" t="str">
        <x:v>Reperformance Blueprint</x:v>
      </x:c>
      <x:c r="C85" s="37" t="str">
        <x:v>`KD-P2`</x:v>
      </x:c>
      <x:c r="D85" s="37" t="str">
        <x:v>Karaoke🎙️Dokie: Phases, Concepts, Ideas, and Modules</x:v>
      </x:c>
      <x:c r="E85" s="37" t="str">
        <x:v>One prioritized improvement per section for the next attempt.</x:v>
      </x:c>
      <x:c r="F85" s="45" t="str">
        <x:v>DOS-002</x:v>
      </x:c>
      <x:c r="G85" s="45" t="str">
        <x:v>KaraokeDokie — Media Intelligence &amp; Phase 2</x:v>
      </x:c>
      <x:c r="H85" s="37" t="str">
        <x:v>Phase, module, or expansion within mapped project</x:v>
      </x:c>
      <x:c r="I85" s="38" t="str">
        <x:v>High</x:v>
      </x:c>
    </x:row>
    <x:row r="86" ht="42" customHeight="1">
      <x:c r="A86" s="78" t="n">
        <x:v>80</x:v>
      </x:c>
      <x:c r="B86" s="37" t="str">
        <x:v>Hardest Eight Seconds</x:v>
      </x:c>
      <x:c r="C86" s="37" t="str">
        <x:v>`KD-P2`</x:v>
      </x:c>
      <x:c r="D86" s="37" t="str">
        <x:v>Karaoke🎙️Dokie: Phases, Concepts, Ideas, and Modules</x:v>
      </x:c>
      <x:c r="E86" s="37" t="str">
        <x:v>Extracts the most valuable micro-loop for practice.</x:v>
      </x:c>
      <x:c r="F86" s="45" t="str">
        <x:v>DOS-002</x:v>
      </x:c>
      <x:c r="G86" s="45" t="str">
        <x:v>KaraokeDokie — Media Intelligence &amp; Phase 2</x:v>
      </x:c>
      <x:c r="H86" s="37" t="str">
        <x:v>Phase, module, or expansion within mapped project</x:v>
      </x:c>
      <x:c r="I86" s="38" t="str">
        <x:v>High</x:v>
      </x:c>
    </x:row>
    <x:row r="87" ht="42" customHeight="1">
      <x:c r="A87" s="78" t="n">
        <x:v>81</x:v>
      </x:c>
      <x:c r="B87" s="37" t="str">
        <x:v>Visual Auto-Sync</x:v>
      </x:c>
      <x:c r="C87" s="37" t="str">
        <x:v>`KD-P2`</x:v>
      </x:c>
      <x:c r="D87" s="37" t="str">
        <x:v>Karaoke🎙️Dokie: Phases, Concepts, Ideas, and Modules</x:v>
      </x:c>
      <x:c r="E87" s="37" t="str">
        <x:v>Places images against the actual recorded structure and timestamps.</x:v>
      </x:c>
      <x:c r="F87" s="45" t="str">
        <x:v>DOS-002</x:v>
      </x:c>
      <x:c r="G87" s="45" t="str">
        <x:v>KaraokeDokie — Media Intelligence &amp; Phase 2</x:v>
      </x:c>
      <x:c r="H87" s="37" t="str">
        <x:v>Phase, module, or expansion within mapped project</x:v>
      </x:c>
      <x:c r="I87" s="38" t="str">
        <x:v>High</x:v>
      </x:c>
    </x:row>
    <x:row r="88" ht="42" customHeight="1">
      <x:c r="A88" s="78" t="n">
        <x:v>82</x:v>
      </x:c>
      <x:c r="B88" s="37" t="str">
        <x:v>Emotional Arc Map</x:v>
      </x:c>
      <x:c r="C88" s="37" t="str">
        <x:v>`KD-P2`</x:v>
      </x:c>
      <x:c r="D88" s="37" t="str">
        <x:v>Karaoke🎙️Dokie: Phases, Concepts, Ideas, and Modules</x:v>
      </x:c>
      <x:c r="E88" s="37" t="str">
        <x:v>Compares intended emotion with delivered emotion.</x:v>
      </x:c>
      <x:c r="F88" s="45" t="str">
        <x:v>DOS-002</x:v>
      </x:c>
      <x:c r="G88" s="45" t="str">
        <x:v>KaraokeDokie — Media Intelligence &amp; Phase 2</x:v>
      </x:c>
      <x:c r="H88" s="37" t="str">
        <x:v>Phase, module, or expansion within mapped project</x:v>
      </x:c>
      <x:c r="I88" s="38" t="str">
        <x:v>High</x:v>
      </x:c>
    </x:row>
    <x:row r="89" ht="42" customHeight="1">
      <x:c r="A89" s="78" t="n">
        <x:v>83</x:v>
      </x:c>
      <x:c r="B89" s="37" t="str">
        <x:v>Duet Fairness Auditor</x:v>
      </x:c>
      <x:c r="C89" s="37" t="str">
        <x:v>`KD-P2`</x:v>
      </x:c>
      <x:c r="D89" s="37" t="str">
        <x:v>Karaoke🎙️Dokie: Phases, Concepts, Ideas, and Modules</x:v>
      </x:c>
      <x:c r="E89" s="37" t="str">
        <x:v>Measures contribution, volume, spotlight, and balance.</x:v>
      </x:c>
      <x:c r="F89" s="45" t="str">
        <x:v>DOS-002</x:v>
      </x:c>
      <x:c r="G89" s="45" t="str">
        <x:v>KaraokeDokie — Media Intelligence &amp; Phase 2</x:v>
      </x:c>
      <x:c r="H89" s="37" t="str">
        <x:v>Phase, module, or expansion within mapped project</x:v>
      </x:c>
      <x:c r="I89" s="38" t="str">
        <x:v>High</x:v>
      </x:c>
    </x:row>
    <x:row r="90" ht="42" customHeight="1">
      <x:c r="A90" s="78" t="n">
        <x:v>84</x:v>
      </x:c>
      <x:c r="B90" s="37" t="str">
        <x:v>Best-Take Compiler</x:v>
      </x:c>
      <x:c r="C90" s="37" t="str">
        <x:v>`KD-P2`</x:v>
      </x:c>
      <x:c r="D90" s="37" t="str">
        <x:v>Karaoke🎙️Dokie: Phases, Concepts, Ideas, and Modules</x:v>
      </x:c>
      <x:c r="E90" s="37" t="str">
        <x:v>Combines the strongest sections of multiple takes.</x:v>
      </x:c>
      <x:c r="F90" s="45" t="str">
        <x:v>DOS-002</x:v>
      </x:c>
      <x:c r="G90" s="45" t="str">
        <x:v>KaraokeDokie — Media Intelligence &amp; Phase 2</x:v>
      </x:c>
      <x:c r="H90" s="37" t="str">
        <x:v>Phase, module, or expansion within mapped project</x:v>
      </x:c>
      <x:c r="I90" s="38" t="str">
        <x:v>High</x:v>
      </x:c>
    </x:row>
    <x:row r="91" ht="42" customHeight="1">
      <x:c r="A91" s="78" t="n">
        <x:v>85</x:v>
      </x:c>
      <x:c r="B91" s="37" t="str">
        <x:v>Repair Studio / Remaster</x:v>
      </x:c>
      <x:c r="C91" s="37" t="str">
        <x:v>`KD-P2`</x:v>
      </x:c>
      <x:c r="D91" s="37" t="str">
        <x:v>Karaoke🎙️Dokie: Phases, Concepts, Ideas, and Modules</x:v>
      </x:c>
      <x:c r="E91" s="37" t="str">
        <x:v>Noise reduction, leveling, EQ, de-essing, stereo work, and gentle pitch/timing help using dedicated DSP.</x:v>
      </x:c>
      <x:c r="F91" s="45" t="str">
        <x:v>DOS-002</x:v>
      </x:c>
      <x:c r="G91" s="45" t="str">
        <x:v>KaraokeDokie — Media Intelligence &amp; Phase 2</x:v>
      </x:c>
      <x:c r="H91" s="37" t="str">
        <x:v>Phase, module, or expansion within mapped project</x:v>
      </x:c>
      <x:c r="I91" s="38" t="str">
        <x:v>High</x:v>
      </x:c>
    </x:row>
    <x:row r="92" ht="42" customHeight="1">
      <x:c r="A92" s="78" t="n">
        <x:v>86</x:v>
      </x:c>
      <x:c r="B92" s="37" t="str">
        <x:v>Before/After Ledger</x:v>
      </x:c>
      <x:c r="C92" s="37" t="str">
        <x:v>`KD-P2`</x:v>
      </x:c>
      <x:c r="D92" s="37" t="str">
        <x:v>Karaoke🎙️Dokie: Phases, Concepts, Ideas, and Modules</x:v>
      </x:c>
      <x:c r="E92" s="37" t="str">
        <x:v>Clearly states every alteration instead of letting AI wear a fake moustache.</x:v>
      </x:c>
      <x:c r="F92" s="45" t="str">
        <x:v>DOS-002</x:v>
      </x:c>
      <x:c r="G92" s="45" t="str">
        <x:v>KaraokeDokie — Media Intelligence &amp; Phase 2</x:v>
      </x:c>
      <x:c r="H92" s="37" t="str">
        <x:v>Phase, module, or expansion within mapped project</x:v>
      </x:c>
      <x:c r="I92" s="38" t="str">
        <x:v>High</x:v>
      </x:c>
    </x:row>
    <x:row r="93" ht="42" customHeight="1">
      <x:c r="A93" s="78" t="n">
        <x:v>87</x:v>
      </x:c>
      <x:c r="B93" s="37" t="str">
        <x:v>Highlight Miner</x:v>
      </x:c>
      <x:c r="C93" s="37" t="str">
        <x:v>`KD-P2`</x:v>
      </x:c>
      <x:c r="D93" s="37" t="str">
        <x:v>Karaoke🎙️Dokie: Phases, Concepts, Ideas, and Modules</x:v>
      </x:c>
      <x:c r="E93" s="37" t="str">
        <x:v>Finds the strongest moments for teasers and promotional clips.</x:v>
      </x:c>
      <x:c r="F93" s="45" t="str">
        <x:v>DOS-002</x:v>
      </x:c>
      <x:c r="G93" s="45" t="str">
        <x:v>KaraokeDokie — Media Intelligence &amp; Phase 2</x:v>
      </x:c>
      <x:c r="H93" s="37" t="str">
        <x:v>Phase, module, or expansion within mapped project</x:v>
      </x:c>
      <x:c r="I93" s="38" t="str">
        <x:v>High</x:v>
      </x:c>
    </x:row>
    <x:row r="94" ht="42" customHeight="1">
      <x:c r="A94" s="78" t="n">
        <x:v>88</x:v>
      </x:c>
      <x:c r="B94" s="37" t="str">
        <x:v>Vocal Progress Timeline</x:v>
      </x:c>
      <x:c r="C94" s="37" t="str">
        <x:v>`KD-P2`</x:v>
      </x:c>
      <x:c r="D94" s="37" t="str">
        <x:v>Karaoke🎙️Dokie: Phases, Concepts, Ideas, and Modules</x:v>
      </x:c>
      <x:c r="E94" s="37" t="str">
        <x:v>Tracks improvement across songs and months.</x:v>
      </x:c>
      <x:c r="F94" s="45" t="str">
        <x:v>DOS-002</x:v>
      </x:c>
      <x:c r="G94" s="45" t="str">
        <x:v>KaraokeDokie — Media Intelligence &amp; Phase 2</x:v>
      </x:c>
      <x:c r="H94" s="37" t="str">
        <x:v>Phase, module, or expansion within mapped project</x:v>
      </x:c>
      <x:c r="I94" s="38" t="str">
        <x:v>High</x:v>
      </x:c>
    </x:row>
    <x:row r="95" ht="42" customHeight="1">
      <x:c r="A95" s="78" t="n">
        <x:v>89</x:v>
      </x:c>
      <x:c r="B95" s="37" t="str">
        <x:v>Personal Vocal Fingerprint</x:v>
      </x:c>
      <x:c r="C95" s="37" t="str">
        <x:v>`KD-P2`</x:v>
      </x:c>
      <x:c r="D95" s="37" t="str">
        <x:v>Karaoke🎙️Dokie: Phases, Concepts, Ideas, and Modules</x:v>
      </x:c>
      <x:c r="E95" s="37" t="str">
        <x:v>Identifies recurring strengths, tendencies, tone, and best-fit material.</x:v>
      </x:c>
      <x:c r="F95" s="45" t="str">
        <x:v>DOS-002</x:v>
      </x:c>
      <x:c r="G95" s="45" t="str">
        <x:v>KaraokeDokie — Media Intelligence &amp; Phase 2</x:v>
      </x:c>
      <x:c r="H95" s="37" t="str">
        <x:v>Phase, module, or expansion within mapped project</x:v>
      </x:c>
      <x:c r="I95" s="38" t="str">
        <x:v>High</x:v>
      </x:c>
    </x:row>
    <x:row r="96" ht="42" customHeight="1">
      <x:c r="A96" s="78" t="n">
        <x:v>90</x:v>
      </x:c>
      <x:c r="B96" s="37" t="str">
        <x:v>Harmony Designer</x:v>
      </x:c>
      <x:c r="C96" s="37" t="str">
        <x:v>`KD-P2`</x:v>
      </x:c>
      <x:c r="D96" s="37" t="str">
        <x:v>Karaoke🎙️Dokie: Phases, Concepts, Ideas, and Modules</x:v>
      </x:c>
      <x:c r="E96" s="37" t="str">
        <x:v>Creates learnable harmony references without replacing the human singer.</x:v>
      </x:c>
      <x:c r="F96" s="45" t="str">
        <x:v>DOS-002</x:v>
      </x:c>
      <x:c r="G96" s="45" t="str">
        <x:v>KaraokeDokie — Media Intelligence &amp; Phase 2</x:v>
      </x:c>
      <x:c r="H96" s="37" t="str">
        <x:v>Phase, module, or expansion within mapped project</x:v>
      </x:c>
      <x:c r="I96" s="38" t="str">
        <x:v>High</x:v>
      </x:c>
    </x:row>
    <x:row r="97" ht="42" customHeight="1">
      <x:c r="A97" s="78" t="n">
        <x:v>91</x:v>
      </x:c>
      <x:c r="B97" s="37" t="str">
        <x:v>Slideshow/Video Enhancement</x:v>
      </x:c>
      <x:c r="C97" s="37" t="str">
        <x:v>`KD-P2`</x:v>
      </x:c>
      <x:c r="D97" s="37" t="str">
        <x:v>Karaoke🎙️Dokie: Phases, Concepts, Ideas, and Modules</x:v>
      </x:c>
      <x:c r="E97" s="37" t="str">
        <x:v>Improves uploaded performance presentation and existing visual material.</x:v>
      </x:c>
      <x:c r="F97" s="45" t="str">
        <x:v>DOS-002</x:v>
      </x:c>
      <x:c r="G97" s="45" t="str">
        <x:v>KaraokeDokie — Media Intelligence &amp; Phase 2</x:v>
      </x:c>
      <x:c r="H97" s="37" t="str">
        <x:v>Phase, module, or expansion within mapped project</x:v>
      </x:c>
      <x:c r="I97" s="38" t="str">
        <x:v>High</x:v>
      </x:c>
    </x:row>
    <x:row r="98" ht="42" customHeight="1">
      <x:c r="A98" s="78" t="n">
        <x:v>92</x:v>
      </x:c>
      <x:c r="B98" s="37" t="str">
        <x:v>Advanced AI Music-Video Upgrade</x:v>
      </x:c>
      <x:c r="C98" s="37" t="str">
        <x:v>`KD-P2`/`KD-X`</x:v>
      </x:c>
      <x:c r="D98" s="37" t="str">
        <x:v>Karaoke🎙️Dokie: Phases, Concepts, Ideas, and Modules</x:v>
      </x:c>
      <x:c r="E98" s="37" t="str">
        <x:v>Converts a performance into a more cinematic music-video treatment.</x:v>
      </x:c>
      <x:c r="F98" s="45" t="str">
        <x:v>DOS-002</x:v>
      </x:c>
      <x:c r="G98" s="45" t="str">
        <x:v>KaraokeDokie — Media Intelligence &amp; Phase 2</x:v>
      </x:c>
      <x:c r="H98" s="37" t="str">
        <x:v>Phase, module, or expansion within mapped project</x:v>
      </x:c>
      <x:c r="I98" s="38" t="str">
        <x:v>High</x:v>
      </x:c>
    </x:row>
    <x:row r="99" ht="42" customHeight="1">
      <x:c r="A99" s="78" t="n">
        <x:v>93</x:v>
      </x:c>
      <x:c r="B99" s="37" t="str">
        <x:v>Frame Creator</x:v>
      </x:c>
      <x:c r="C99" s="37" t="str">
        <x:v>`KD-P2`</x:v>
      </x:c>
      <x:c r="D99" s="37" t="str">
        <x:v>Karaoke🎙️Dokie: Phases, Concepts, Ideas, and Modules</x:v>
      </x:c>
      <x:c r="E99" s="37" t="str">
        <x:v>Generates branded/themed presentation frames.</x:v>
      </x:c>
      <x:c r="F99" s="45" t="str">
        <x:v>DOS-002</x:v>
      </x:c>
      <x:c r="G99" s="45" t="str">
        <x:v>KaraokeDokie — Media Intelligence &amp; Phase 2</x:v>
      </x:c>
      <x:c r="H99" s="37" t="str">
        <x:v>Phase, module, or expansion within mapped project</x:v>
      </x:c>
      <x:c r="I99" s="38" t="str">
        <x:v>High</x:v>
      </x:c>
    </x:row>
    <x:row r="100" ht="42" customHeight="1">
      <x:c r="A100" s="78" t="n">
        <x:v>94</x:v>
      </x:c>
      <x:c r="B100" s="37" t="str">
        <x:v>Vocal Isolation Chamber</x:v>
      </x:c>
      <x:c r="C100" s="37" t="str">
        <x:v>`KD-X`</x:v>
      </x:c>
      <x:c r="D100" s="37" t="str">
        <x:v>Karaoke🎙️Dokie: Phases, Concepts, Ideas, and Modules</x:v>
      </x:c>
      <x:c r="E100" s="37" t="str">
        <x:v>Separate future extraction/practice utility; not part of the legacy remaster chain.</x:v>
      </x:c>
      <x:c r="F100" s="45" t="str">
        <x:v>DOS-003</x:v>
      </x:c>
      <x:c r="G100" s="45" t="str">
        <x:v>Karaoke 2.0 / Digital Isolation Chamber</x:v>
      </x:c>
      <x:c r="H100" s="37" t="str">
        <x:v>Phase, module, or expansion within mapped project</x:v>
      </x:c>
      <x:c r="I100" s="38" t="str">
        <x:v>High</x:v>
      </x:c>
    </x:row>
    <x:row r="101" ht="42" customHeight="1">
      <x:c r="A101" s="78" t="n">
        <x:v>95</x:v>
      </x:c>
      <x:c r="B101" s="37" t="str">
        <x:v>Dokie Charts Integration</x:v>
      </x:c>
      <x:c r="C101" s="37" t="str">
        <x:v>`KD-P2`</x:v>
      </x:c>
      <x:c r="D101" s="37" t="str">
        <x:v>Karaoke🎙️Dokie: Phases, Concepts, Ideas, and Modules</x:v>
      </x:c>
      <x:c r="E101" s="37" t="str">
        <x:v>Song discovery/rankings: performed, rated, loved, trending, rising, duets, country, language, genre, range, difficulty, hidden gems, and weekly/monthly/all-time views.</x:v>
      </x:c>
      <x:c r="F101" s="45" t="str">
        <x:v>DOS-006</x:v>
      </x:c>
      <x:c r="G101" s="45" t="str">
        <x:v>zaf.radio</x:v>
      </x:c>
      <x:c r="H101" s="37" t="str">
        <x:v>Phase, module, or expansion within mapped project</x:v>
      </x:c>
      <x:c r="I101" s="38" t="str">
        <x:v>High</x:v>
      </x:c>
    </x:row>
    <x:row r="102" ht="42" customHeight="1">
      <x:c r="A102" s="78" t="n">
        <x:v>96</x:v>
      </x:c>
      <x:c r="B102" s="37" t="str">
        <x:v>Export Network</x:v>
      </x:c>
      <x:c r="C102" s="37" t="str">
        <x:v>`KD-P2`</x:v>
      </x:c>
      <x:c r="D102" s="37" t="str">
        <x:v>Karaoke🎙️Dokie: Phases, Concepts, Ideas, and Modules</x:v>
      </x:c>
      <x:c r="E102" s="37" t="str">
        <x:v>Device, Zafstagram, zaf.radio, major social platforms, messaging apps, and external karaoke workflows.</x:v>
      </x:c>
      <x:c r="F102" s="45" t="str">
        <x:v>DOS-002</x:v>
      </x:c>
      <x:c r="G102" s="45" t="str">
        <x:v>KaraokeDokie — Media Intelligence &amp; Phase 2</x:v>
      </x:c>
      <x:c r="H102" s="37" t="str">
        <x:v>Phase, module, or expansion within mapped project</x:v>
      </x:c>
      <x:c r="I102" s="38" t="str">
        <x:v>High</x:v>
      </x:c>
    </x:row>
    <x:row r="103" ht="42" customHeight="1">
      <x:c r="A103" s="78" t="n">
        <x:v>97</x:v>
      </x:c>
      <x:c r="B103" s="37" t="str">
        <x:v>Upstream Ecosystem Bridges</x:v>
      </x:c>
      <x:c r="C103" s="37" t="str">
        <x:v>`KD`</x:v>
      </x:c>
      <x:c r="D103" s="37" t="str">
        <x:v>Karaoke🎙️Dokie: Phases, Concepts, Ideas, and Modules</x:v>
      </x:c>
      <x:c r="E103" s="37" t="str">
        <x:v>ZAF Song Selector and Setlist Creator send chosen songs into KaraokeDokie.</x:v>
      </x:c>
      <x:c r="F103" s="45" t="str">
        <x:v>DOS-046</x:v>
      </x:c>
      <x:c r="G103" s="45" t="str">
        <x:v>Song, Setlist &amp; Collaboration Tools</x:v>
      </x:c>
      <x:c r="H103" s="37" t="str">
        <x:v>Linked idea, capability, or project component</x:v>
      </x:c>
      <x:c r="I103" s="38" t="str">
        <x:v>High</x:v>
      </x:c>
    </x:row>
    <x:row r="104" ht="42" customHeight="1">
      <x:c r="A104" s="78" t="n">
        <x:v>98</x:v>
      </x:c>
      <x:c r="B104" s="37" t="str">
        <x:v>Downstream Ecosystem Bridges</x:v>
      </x:c>
      <x:c r="C104" s="37" t="str">
        <x:v>`KD`</x:v>
      </x:c>
      <x:c r="D104" s="37" t="str">
        <x:v>Karaoke🎙️Dokie: Phases, Concepts, Ideas, and Modules</x:v>
      </x:c>
      <x:c r="E104" s="37" t="str">
        <x:v>Duet Dare receives invitations/results; ZAF Prestige receives Performance Receipts and recognition artifacts.</x:v>
      </x:c>
      <x:c r="F104" s="45" t="str">
        <x:v>DOS-007</x:v>
      </x:c>
      <x:c r="G104" s="45" t="str">
        <x:v>ZAF Prestige</x:v>
      </x:c>
      <x:c r="H104" s="37" t="str">
        <x:v>Linked idea, capability, or project component</x:v>
      </x:c>
      <x:c r="I104" s="38" t="str">
        <x:v>High</x:v>
      </x:c>
    </x:row>
    <x:row r="105" ht="42" customHeight="1">
      <x:c r="A105" s="78" t="n">
        <x:v>99</x:v>
      </x:c>
      <x:c r="B105" s="37" t="str">
        <x:v>Full-Song Transformation Future</x:v>
      </x:c>
      <x:c r="C105" s="37" t="str">
        <x:v>`KD-X`</x:v>
      </x:c>
      <x:c r="D105" s="37" t="str">
        <x:v>Karaoke🎙️Dokie: Phases, Concepts, Ideas, and Modules</x:v>
      </x:c>
      <x:c r="E105" s="37" t="str">
        <x:v>Users eventually bring the complete performance for enhancement rather than only a title.</x:v>
      </x:c>
      <x:c r="F105" s="45" t="str">
        <x:v>DOS-002</x:v>
      </x:c>
      <x:c r="G105" s="45" t="str">
        <x:v>KaraokeDokie — Media Intelligence &amp; Phase 2</x:v>
      </x:c>
      <x:c r="H105" s="37" t="str">
        <x:v>Phase, module, or expansion within mapped project</x:v>
      </x:c>
      <x:c r="I105" s="38" t="str">
        <x:v>High</x:v>
      </x:c>
    </x:row>
    <x:row r="106" ht="42" customHeight="1">
      <x:c r="A106" s="78" t="n">
        <x:v>100</x:v>
      </x:c>
      <x:c r="B106" s="37" t="str">
        <x:v>Song Project Archive</x:v>
      </x:c>
      <x:c r="C106" s="37" t="str">
        <x:v>`KD-X`</x:v>
      </x:c>
      <x:c r="D106" s="37" t="str">
        <x:v>Karaoke🎙️Dokie: Phases, Concepts, Ideas, and Modules</x:v>
      </x:c>
      <x:c r="E106" s="37" t="str">
        <x:v>Preserves directions, images, revisions, presets, critiques, exports, and improvement history per performance.</x:v>
      </x:c>
      <x:c r="F106" s="45" t="str">
        <x:v>DOS-001</x:v>
      </x:c>
      <x:c r="G106" s="45" t="str">
        <x:v>KaraokeDokie — Phase 1</x:v>
      </x:c>
      <x:c r="H106" s="37" t="str">
        <x:v>Phase, module, or expansion within mapped project</x:v>
      </x:c>
      <x:c r="I106" s="38" t="str">
        <x:v>High</x:v>
      </x:c>
    </x:row>
    <x:row r="107" ht="42" customHeight="1">
      <x:c r="A107" s="78" t="n">
        <x:v>101</x:v>
      </x:c>
      <x:c r="B107" s="37" t="str">
        <x:v>ZAF Virtual Production Studios, LLC</x:v>
      </x:c>
      <x:c r="C107" s="37" t="str">
        <x:v>`ZAF`</x:v>
      </x:c>
      <x:c r="D107" s="37" t="str">
        <x:v>ZAF Ecosystem, Apps, Platforms, Programs, and Business Systems</x:v>
      </x:c>
      <x:c r="E107" s="37" t="str">
        <x:v>Parent institution, production ecosystem, and business umbrella.</x:v>
      </x:c>
      <x:c r="F107" s="45" t="str">
        <x:v>DOS-039</x:v>
      </x:c>
      <x:c r="G107" s="45" t="str">
        <x:v>ZAF Shared Platform Foundation</x:v>
      </x:c>
      <x:c r="H107" s="37" t="str">
        <x:v>Linked idea, capability, or project component</x:v>
      </x:c>
      <x:c r="I107" s="38" t="str">
        <x:v>High</x:v>
      </x:c>
    </x:row>
    <x:row r="108" ht="42" customHeight="1">
      <x:c r="A108" s="78" t="n">
        <x:v>102</x:v>
      </x:c>
      <x:c r="B108" s="37" t="str">
        <x:v>zaf.rocks</x:v>
      </x:c>
      <x:c r="C108" s="37" t="str">
        <x:v>`ZAF`, web/app</x:v>
      </x:c>
      <x:c r="D108" s="37" t="str">
        <x:v>ZAF Ecosystem, Apps, Platforms, Programs, and Business Systems</x:v>
      </x:c>
      <x:c r="E108" s="37" t="str">
        <x:v>Infrastructure hub, namespace, onboarding gateway, virtual-studio access, portfolio/label/merch portal, and parent brand home.</x:v>
      </x:c>
      <x:c r="F108" s="45" t="str">
        <x:v>DOS-011</x:v>
      </x:c>
      <x:c r="G108" s="45" t="str">
        <x:v>zaf.rocks Central Hub</x:v>
      </x:c>
      <x:c r="H108" s="37" t="str">
        <x:v>Linked idea, capability, or project component</x:v>
      </x:c>
      <x:c r="I108" s="38" t="str">
        <x:v>High</x:v>
      </x:c>
    </x:row>
    <x:row r="109" ht="42" customHeight="1">
      <x:c r="A109" s="78" t="n">
        <x:v>103</x:v>
      </x:c>
      <x:c r="B109" s="37" t="str">
        <x:v>Zafstagram</x:v>
      </x:c>
      <x:c r="C109" s="37" t="str">
        <x:v>`ZAF`, app</x:v>
      </x:c>
      <x:c r="D109" s="37" t="str">
        <x:v>ZAF Ecosystem, Apps, Platforms, Programs, and Business Systems</x:v>
      </x:c>
      <x:c r="E109" s="37" t="str">
        <x:v>Primary social shell for profiles/portfolios, badges, members, chat, feed, groups, loyalty, and zaf.radio.</x:v>
      </x:c>
      <x:c r="F109" s="45" t="str">
        <x:v>DOS-004</x:v>
      </x:c>
      <x:c r="G109" s="45" t="str">
        <x:v>Zafstagram</x:v>
      </x:c>
      <x:c r="H109" s="37" t="str">
        <x:v>Linked idea, capability, or project component</x:v>
      </x:c>
      <x:c r="I109" s="38" t="str">
        <x:v>High</x:v>
      </x:c>
    </x:row>
    <x:row r="110" ht="42" customHeight="1">
      <x:c r="A110" s="78" t="n">
        <x:v>104</x:v>
      </x:c>
      <x:c r="B110" s="37" t="str">
        <x:v>Karaoke 2.0</x:v>
      </x:c>
      <x:c r="C110" s="37" t="str">
        <x:v>`ZAF`, app</x:v>
      </x:c>
      <x:c r="D110" s="37" t="str">
        <x:v>ZAF Ecosystem, Apps, Platforms, Programs, and Business Systems</x:v>
      </x:c>
      <x:c r="E110" s="37" t="str">
        <x:v>Serious recording, artist-development, and creation engine; distinct from KaraokeDokie’s transformation layer.</x:v>
      </x:c>
      <x:c r="F110" s="45" t="str">
        <x:v>DOS-003</x:v>
      </x:c>
      <x:c r="G110" s="45" t="str">
        <x:v>Karaoke 2.0 / Digital Isolation Chamber</x:v>
      </x:c>
      <x:c r="H110" s="37" t="str">
        <x:v>Linked idea, capability, or project component</x:v>
      </x:c>
      <x:c r="I110" s="38" t="str">
        <x:v>High</x:v>
      </x:c>
    </x:row>
    <x:row r="111" ht="42" customHeight="1">
      <x:c r="A111" s="78" t="n">
        <x:v>105</x:v>
      </x:c>
      <x:c r="B111" s="37" t="str">
        <x:v>ZAF Friends &amp; Family</x:v>
      </x:c>
      <x:c r="C111" s="37" t="str">
        <x:v>`ZAF`, tab/app legacy</x:v>
      </x:c>
      <x:c r="D111" s="37" t="str">
        <x:v>ZAF Ecosystem, Apps, Platforms, Programs, and Business Systems</x:v>
      </x:c>
      <x:c r="E111" s="37" t="str">
        <x:v>Human/relationship layer with secondary profiles, passports, stickers, jobs, and engagement rewards; now a tab rather than a separate app.</x:v>
      </x:c>
      <x:c r="F111" s="45" t="str">
        <x:v>DOS-005</x:v>
      </x:c>
      <x:c r="G111" s="45" t="str">
        <x:v>ZAF Friends &amp; Family</x:v>
      </x:c>
      <x:c r="H111" s="37" t="str">
        <x:v>Linked idea, capability, or project component</x:v>
      </x:c>
      <x:c r="I111" s="38" t="str">
        <x:v>High</x:v>
      </x:c>
    </x:row>
    <x:row r="112" ht="42" customHeight="1">
      <x:c r="A112" s="78" t="n">
        <x:v>106</x:v>
      </x:c>
      <x:c r="B112" s="37" t="str">
        <x:v>zaf.radio</x:v>
      </x:c>
      <x:c r="C112" s="37" t="str">
        <x:v>`ZAF`, media module</x:v>
      </x:c>
      <x:c r="D112" s="37" t="str">
        <x:v>ZAF Ecosystem, Apps, Platforms, Programs, and Business Systems</x:v>
      </x:c>
      <x:c r="E112" s="37" t="str">
        <x:v>TikTok-style reels/performance-discovery feed.</x:v>
      </x:c>
      <x:c r="F112" s="45" t="str">
        <x:v>DOS-006</x:v>
      </x:c>
      <x:c r="G112" s="45" t="str">
        <x:v>zaf.radio</x:v>
      </x:c>
      <x:c r="H112" s="37" t="str">
        <x:v>Linked idea, capability, or project component</x:v>
      </x:c>
      <x:c r="I112" s="38" t="str">
        <x:v>High</x:v>
      </x:c>
    </x:row>
    <x:row r="113" ht="42" customHeight="1">
      <x:c r="A113" s="78" t="n">
        <x:v>107</x:v>
      </x:c>
      <x:c r="B113" s="37" t="str">
        <x:v>ZAF Prestige</x:v>
      </x:c>
      <x:c r="C113" s="37" t="str">
        <x:v>`ZAF`, PWA/product</x:v>
      </x:c>
      <x:c r="D113" s="37" t="str">
        <x:v>ZAF Ecosystem, Apps, Platforms, Programs, and Business Systems</x:v>
      </x:c>
      <x:c r="E113" s="37" t="str">
        <x:v>Permanent identity, scarcity, patronage, honors, portfolios, collectible artifacts, and historical recognition for external performances.</x:v>
      </x:c>
      <x:c r="F113" s="45" t="str">
        <x:v>DOS-007</x:v>
      </x:c>
      <x:c r="G113" s="45" t="str">
        <x:v>ZAF Prestige</x:v>
      </x:c>
      <x:c r="H113" s="37" t="str">
        <x:v>Linked idea, capability, or project component</x:v>
      </x:c>
      <x:c r="I113" s="38" t="str">
        <x:v>High</x:v>
      </x:c>
    </x:row>
    <x:row r="114" ht="42" customHeight="1">
      <x:c r="A114" s="78" t="n">
        <x:v>108</x:v>
      </x:c>
      <x:c r="B114" s="37" t="str">
        <x:v>ZAF Duet Dare</x:v>
      </x:c>
      <x:c r="C114" s="37" t="str">
        <x:v>`ZAF`, PWA/product</x:v>
      </x:c>
      <x:c r="D114" s="37" t="str">
        <x:v>ZAF Ecosystem, Apps, Platforms, Programs, and Business Systems</x:v>
      </x:c>
      <x:c r="E114" s="37" t="str">
        <x:v>Challenges, nominations, deadlines, voting, recognition, viral sharing, and funneling into the wider ecosystem.</x:v>
      </x:c>
      <x:c r="F114" s="45" t="str">
        <x:v>DOS-008</x:v>
      </x:c>
      <x:c r="G114" s="45" t="str">
        <x:v>ZAF Duet Dare &amp; Collaboration</x:v>
      </x:c>
      <x:c r="H114" s="37" t="str">
        <x:v>Linked idea, capability, or project component</x:v>
      </x:c>
      <x:c r="I114" s="38" t="str">
        <x:v>High</x:v>
      </x:c>
    </x:row>
    <x:row r="115" ht="42" customHeight="1">
      <x:c r="A115" s="78" t="n">
        <x:v>109</x:v>
      </x:c>
      <x:c r="B115" s="37" t="str">
        <x:v>Duet / Collaboration Randomizer</x:v>
      </x:c>
      <x:c r="C115" s="37" t="str">
        <x:v>`ZAF`, module</x:v>
      </x:c>
      <x:c r="D115" s="37" t="str">
        <x:v>ZAF Ecosystem, Apps, Platforms, Programs, and Business Systems</x:v>
      </x:c>
      <x:c r="E115" s="37" t="str">
        <x:v>Generates vocalist pairings, collaboration prompts, and duet opportunities.</x:v>
      </x:c>
      <x:c r="F115" s="45" t="str">
        <x:v>DOS-008</x:v>
      </x:c>
      <x:c r="G115" s="45" t="str">
        <x:v>ZAF Duet Dare &amp; Collaboration</x:v>
      </x:c>
      <x:c r="H115" s="37" t="str">
        <x:v>Linked idea, capability, or project component</x:v>
      </x:c>
      <x:c r="I115" s="38" t="str">
        <x:v>High</x:v>
      </x:c>
    </x:row>
    <x:row r="116" ht="42" customHeight="1">
      <x:c r="A116" s="78" t="n">
        <x:v>110</x:v>
      </x:c>
      <x:c r="B116" s="37" t="str">
        <x:v>Karaoke Enthusiasts Hall of Fame</x:v>
      </x:c>
      <x:c r="C116" s="37" t="str">
        <x:v>`ZAF`, recognition product</x:v>
      </x:c>
      <x:c r="D116" s="37" t="str">
        <x:v>ZAF Ecosystem, Apps, Platforms, Programs, and Business Systems</x:v>
      </x:c>
      <x:c r="E116" s="37" t="str">
        <x:v>Permanent honors, idealized portraits, prestige, history, and monetizable induction/tribute layers.</x:v>
      </x:c>
      <x:c r="F116" s="45" t="str">
        <x:v>DOS-009</x:v>
      </x:c>
      <x:c r="G116" s="45" t="str">
        <x:v>Karaoke Hall of Fame</x:v>
      </x:c>
      <x:c r="H116" s="37" t="str">
        <x:v>Linked idea, capability, or project component</x:v>
      </x:c>
      <x:c r="I116" s="38" t="str">
        <x:v>High</x:v>
      </x:c>
    </x:row>
    <x:row r="117" ht="42" customHeight="1">
      <x:c r="A117" s="78" t="n">
        <x:v>111</x:v>
      </x:c>
      <x:c r="B117" s="37" t="str">
        <x:v>Walk of Stars</x:v>
      </x:c>
      <x:c r="C117" s="37" t="str">
        <x:v>`ZAF`, 3D web experience</x:v>
      </x:c>
      <x:c r="D117" s="37" t="str">
        <x:v>ZAF Ecosystem, Apps, Platforms, Programs, and Business Systems</x:v>
      </x:c>
      <x:c r="E117" s="37" t="str">
        <x:v>Candy-Land-like explorable path of stars, honorees, posters, and cultural history.</x:v>
      </x:c>
      <x:c r="F117" s="45" t="str">
        <x:v>DOS-010</x:v>
      </x:c>
      <x:c r="G117" s="45" t="str">
        <x:v>Karaoke Walk of Stars</x:v>
      </x:c>
      <x:c r="H117" s="37" t="str">
        <x:v>Linked idea, capability, or project component</x:v>
      </x:c>
      <x:c r="I117" s="38" t="str">
        <x:v>High</x:v>
      </x:c>
    </x:row>
    <x:row r="118" ht="42" customHeight="1">
      <x:c r="A118" s="78" t="n">
        <x:v>112</x:v>
      </x:c>
      <x:c r="B118" s="37" t="str">
        <x:v>Walk of Stars Game Layer</x:v>
      </x:c>
      <x:c r="C118" s="37" t="str">
        <x:v>`ZAF`, future game</x:v>
      </x:c>
      <x:c r="D118" s="37" t="str">
        <x:v>ZAF Ecosystem, Apps, Platforms, Programs, and Business Systems</x:v>
      </x:c>
      <x:c r="E118" s="37" t="str">
        <x:v>Evolves the 3D walk into progression, exploration, collecting, or track-game mechanics.</x:v>
      </x:c>
      <x:c r="F118" s="45" t="str">
        <x:v>DOS-010</x:v>
      </x:c>
      <x:c r="G118" s="45" t="str">
        <x:v>Karaoke Walk of Stars</x:v>
      </x:c>
      <x:c r="H118" s="37" t="str">
        <x:v>Linked idea, capability, or project component</x:v>
      </x:c>
      <x:c r="I118" s="38" t="str">
        <x:v>High</x:v>
      </x:c>
    </x:row>
    <x:row r="119" ht="42" customHeight="1">
      <x:c r="A119" s="78" t="n">
        <x:v>113</x:v>
      </x:c>
      <x:c r="B119" s="37" t="str">
        <x:v>Karaoke Fantasy League</x:v>
      </x:c>
      <x:c r="C119" s="37" t="str">
        <x:v>`ZAF`, game/business model</x:v>
      </x:c>
      <x:c r="D119" s="37" t="str">
        <x:v>ZAF Ecosystem, Apps, Platforms, Programs, and Business Systems</x:v>
      </x:c>
      <x:c r="E119" s="37" t="str">
        <x:v>Fantasy sports + cards + speculation around artists’ performance, participation, ratings, and momentum; paid manager roles proposed.</x:v>
      </x:c>
      <x:c r="F119" s="45" t="str">
        <x:v>DOS-007</x:v>
      </x:c>
      <x:c r="G119" s="45" t="str">
        <x:v>ZAF Prestige</x:v>
      </x:c>
      <x:c r="H119" s="37" t="str">
        <x:v>Operating / business-model component</x:v>
      </x:c>
      <x:c r="I119" s="38" t="str">
        <x:v>High</x:v>
      </x:c>
    </x:row>
    <x:row r="120" ht="42" customHeight="1">
      <x:c r="A120" s="78" t="n">
        <x:v>114</x:v>
      </x:c>
      <x:c r="B120" s="37" t="str">
        <x:v>ZAF Vocal Warmup Coach</x:v>
      </x:c>
      <x:c r="C120" s="37" t="str">
        <x:v>`ZAF`, app/module</x:v>
      </x:c>
      <x:c r="D120" s="37" t="str">
        <x:v>ZAF Ecosystem, Apps, Platforms, Programs, and Business Systems</x:v>
      </x:c>
      <x:c r="E120" s="37" t="str">
        <x:v>General and song-specific vocal preparation.</x:v>
      </x:c>
      <x:c r="F120" s="45" t="str">
        <x:v>DOS-047</x:v>
      </x:c>
      <x:c r="G120" s="45" t="str">
        <x:v>ZAF Vocal Warmup Coach</x:v>
      </x:c>
      <x:c r="H120" s="37" t="str">
        <x:v>Linked idea, capability, or project component</x:v>
      </x:c>
      <x:c r="I120" s="38" t="str">
        <x:v>High</x:v>
      </x:c>
    </x:row>
    <x:row r="121" ht="42" customHeight="1">
      <x:c r="A121" s="78" t="n">
        <x:v>115</x:v>
      </x:c>
      <x:c r="B121" s="37" t="str">
        <x:v>ZAF Song Selector</x:v>
      </x:c>
      <x:c r="C121" s="37" t="str">
        <x:v>`ZAF`, app/module</x:v>
      </x:c>
      <x:c r="D121" s="37" t="str">
        <x:v>ZAF Ecosystem, Apps, Platforms, Programs, and Business Systems</x:v>
      </x:c>
      <x:c r="E121" s="37" t="str">
        <x:v>Helps users decide what to sing, then hands the title to KaraokeDokie.</x:v>
      </x:c>
      <x:c r="F121" s="45" t="str">
        <x:v>DOS-046</x:v>
      </x:c>
      <x:c r="G121" s="45" t="str">
        <x:v>Song, Setlist &amp; Collaboration Tools</x:v>
      </x:c>
      <x:c r="H121" s="37" t="str">
        <x:v>Linked idea, capability, or project component</x:v>
      </x:c>
      <x:c r="I121" s="38" t="str">
        <x:v>High</x:v>
      </x:c>
    </x:row>
    <x:row r="122" ht="42" customHeight="1">
      <x:c r="A122" s="78" t="n">
        <x:v>116</x:v>
      </x:c>
      <x:c r="B122" s="37" t="str">
        <x:v>Setlist Creator</x:v>
      </x:c>
      <x:c r="C122" s="37" t="str">
        <x:v>`ZAF`, module</x:v>
      </x:c>
      <x:c r="D122" s="37" t="str">
        <x:v>ZAF Ecosystem, Apps, Platforms, Programs, and Business Systems</x:v>
      </x:c>
      <x:c r="E122" s="37" t="str">
        <x:v>Builds ordered song sets and routes each selection through preparation tools.</x:v>
      </x:c>
      <x:c r="F122" s="45" t="str">
        <x:v>DOS-046</x:v>
      </x:c>
      <x:c r="G122" s="45" t="str">
        <x:v>Song, Setlist &amp; Collaboration Tools</x:v>
      </x:c>
      <x:c r="H122" s="37" t="str">
        <x:v>Linked idea, capability, or project component</x:v>
      </x:c>
      <x:c r="I122" s="38" t="str">
        <x:v>High</x:v>
      </x:c>
    </x:row>
    <x:row r="123" ht="42" customHeight="1">
      <x:c r="A123" s="78" t="n">
        <x:v>117</x:v>
      </x:c>
      <x:c r="B123" s="37" t="str">
        <x:v>ZAF Lyric Mashup</x:v>
      </x:c>
      <x:c r="C123" s="37" t="str">
        <x:v>`ZAF`, creative tool</x:v>
      </x:c>
      <x:c r="D123" s="37" t="str">
        <x:v>ZAF Ecosystem, Apps, Platforms, Programs, and Business Systems</x:v>
      </x:c>
      <x:c r="E123" s="37" t="str">
        <x:v>Rewrites/mashes lyrical material into new performance concepts.</x:v>
      </x:c>
      <x:c r="F123" s="45" t="str">
        <x:v>DOS-048</x:v>
      </x:c>
      <x:c r="G123" s="45" t="str">
        <x:v>ZAF Lyric Mashup &amp; Creative Tools</x:v>
      </x:c>
      <x:c r="H123" s="37" t="str">
        <x:v>Linked idea, capability, or project component</x:v>
      </x:c>
      <x:c r="I123" s="38" t="str">
        <x:v>High</x:v>
      </x:c>
    </x:row>
    <x:row r="124" ht="42" customHeight="1">
      <x:c r="A124" s="78" t="n">
        <x:v>118</x:v>
      </x:c>
      <x:c r="B124" s="37" t="str">
        <x:v>Themed Party Room Idea Generator</x:v>
      </x:c>
      <x:c r="C124" s="37" t="str">
        <x:v>`ZAF`, generator</x:v>
      </x:c>
      <x:c r="D124" s="37" t="str">
        <x:v>ZAF Ecosystem, Apps, Platforms, Programs, and Business Systems</x:v>
      </x:c>
      <x:c r="E124" s="37" t="str">
        <x:v>Produces room themes, activities, presentation ideas, and social prompts.</x:v>
      </x:c>
      <x:c r="F124" s="45" t="str">
        <x:v>DOS-053</x:v>
      </x:c>
      <x:c r="G124" s="45" t="str">
        <x:v>Themed Party Room Idea Generator</x:v>
      </x:c>
      <x:c r="H124" s="37" t="str">
        <x:v>Linked idea, capability, or project component</x:v>
      </x:c>
      <x:c r="I124" s="38" t="str">
        <x:v>High</x:v>
      </x:c>
    </x:row>
    <x:row r="125" ht="42" customHeight="1">
      <x:c r="A125" s="78" t="n">
        <x:v>119</x:v>
      </x:c>
      <x:c r="B125" s="37" t="str">
        <x:v>ZAF Artist Passport</x:v>
      </x:c>
      <x:c r="C125" s="37" t="str">
        <x:v>`ZAF`, identity product</x:v>
      </x:c>
      <x:c r="D125" s="37" t="str">
        <x:v>ZAF Ecosystem, Apps, Platforms, Programs, and Business Systems</x:v>
      </x:c>
      <x:c r="E125" s="37" t="str">
        <x:v>Portable artist identity, achievements, badges, stickers, and external-performance links.</x:v>
      </x:c>
      <x:c r="F125" s="45" t="str">
        <x:v>DOS-049</x:v>
      </x:c>
      <x:c r="G125" s="45" t="str">
        <x:v>ZAF Artist Passport</x:v>
      </x:c>
      <x:c r="H125" s="37" t="str">
        <x:v>Linked idea, capability, or project component</x:v>
      </x:c>
      <x:c r="I125" s="38" t="str">
        <x:v>High</x:v>
      </x:c>
    </x:row>
    <x:row r="126" ht="42" customHeight="1">
      <x:c r="A126" s="78" t="n">
        <x:v>120</x:v>
      </x:c>
      <x:c r="B126" s="37" t="str">
        <x:v>Profile → Portfolio Evolution</x:v>
      </x:c>
      <x:c r="C126" s="37" t="str">
        <x:v>`ZAF`, identity system</x:v>
      </x:c>
      <x:c r="D126" s="37" t="str">
        <x:v>ZAF Ecosystem, Apps, Platforms, Programs, and Business Systems</x:v>
      </x:c>
      <x:c r="E126" s="37" t="str">
        <x:v>Profiles mature into evidence-rich public portfolios.</x:v>
      </x:c>
      <x:c r="F126" s="45" t="str">
        <x:v>DOS-012</x:v>
      </x:c>
      <x:c r="G126" s="45" t="str">
        <x:v>Artist Portfolio Initiative</x:v>
      </x:c>
      <x:c r="H126" s="37" t="str">
        <x:v>Linked idea, capability, or project component</x:v>
      </x:c>
      <x:c r="I126" s="38" t="str">
        <x:v>High</x:v>
      </x:c>
    </x:row>
    <x:row r="127" ht="42" customHeight="1">
      <x:c r="A127" s="78" t="n">
        <x:v>121</x:v>
      </x:c>
      <x:c r="B127" s="37" t="str">
        <x:v>Artist Showcase Portfolios</x:v>
      </x:c>
      <x:c r="C127" s="37" t="str">
        <x:v>`ZAF`, web/app</x:v>
      </x:c>
      <x:c r="D127" s="37" t="str">
        <x:v>ZAF Ecosystem, Apps, Platforms, Programs, and Business Systems</x:v>
      </x:c>
      <x:c r="E127" s="37" t="str">
        <x:v>Public presentation of performers, work, achievements, and services.</x:v>
      </x:c>
      <x:c r="F127" s="45" t="str">
        <x:v>DOS-012</x:v>
      </x:c>
      <x:c r="G127" s="45" t="str">
        <x:v>Artist Portfolio Initiative</x:v>
      </x:c>
      <x:c r="H127" s="37" t="str">
        <x:v>Linked idea, capability, or project component</x:v>
      </x:c>
      <x:c r="I127" s="38" t="str">
        <x:v>High</x:v>
      </x:c>
    </x:row>
    <x:row r="128" ht="42" customHeight="1">
      <x:c r="A128" s="78" t="n">
        <x:v>122</x:v>
      </x:c>
      <x:c r="B128" s="37" t="str">
        <x:v>Virtual Production Studios Portal</x:v>
      </x:c>
      <x:c r="C128" s="37" t="str">
        <x:v>`ZAF`, app screen</x:v>
      </x:c>
      <x:c r="D128" s="37" t="str">
        <x:v>ZAF Ecosystem, Apps, Platforms, Programs, and Business Systems</x:v>
      </x:c>
      <x:c r="E128" s="37" t="str">
        <x:v>Entry to ZAF’s creative services, production tools, and studio ecosystem.</x:v>
      </x:c>
      <x:c r="F128" s="45" t="str">
        <x:v>DOS-013</x:v>
      </x:c>
      <x:c r="G128" s="45" t="str">
        <x:v>ZAF Production, Label &amp; Talent Portals</x:v>
      </x:c>
      <x:c r="H128" s="37" t="str">
        <x:v>Linked idea, capability, or project component</x:v>
      </x:c>
      <x:c r="I128" s="38" t="str">
        <x:v>High</x:v>
      </x:c>
    </x:row>
    <x:row r="129" ht="42" customHeight="1">
      <x:c r="A129" s="78" t="n">
        <x:v>123</x:v>
      </x:c>
      <x:c r="B129" s="37" t="str">
        <x:v>Record Label / Production Portal</x:v>
      </x:c>
      <x:c r="C129" s="37" t="str">
        <x:v>`ZAF`, app screen</x:v>
      </x:c>
      <x:c r="D129" s="37" t="str">
        <x:v>ZAF Ecosystem, Apps, Platforms, Programs, and Business Systems</x:v>
      </x:c>
      <x:c r="E129" s="37" t="str">
        <x:v>Label access, professional pathways, production offers, and high-tier services.</x:v>
      </x:c>
      <x:c r="F129" s="45" t="str">
        <x:v>DOS-013</x:v>
      </x:c>
      <x:c r="G129" s="45" t="str">
        <x:v>ZAF Production, Label &amp; Talent Portals</x:v>
      </x:c>
      <x:c r="H129" s="37" t="str">
        <x:v>Linked idea, capability, or project component</x:v>
      </x:c>
      <x:c r="I129" s="38" t="str">
        <x:v>High</x:v>
      </x:c>
    </x:row>
    <x:row r="130" ht="42" customHeight="1">
      <x:c r="A130" s="78" t="n">
        <x:v>124</x:v>
      </x:c>
      <x:c r="B130" s="37" t="str">
        <x:v>Vocal Booth</x:v>
      </x:c>
      <x:c r="C130" s="37" t="str">
        <x:v>`ZAF`, app/module</x:v>
      </x:c>
      <x:c r="D130" s="37" t="str">
        <x:v>ZAF Ecosystem, Apps, Platforms, Programs, and Business Systems</x:v>
      </x:c>
      <x:c r="E130" s="37" t="str">
        <x:v>Virtual vocal-development and recording environment.</x:v>
      </x:c>
      <x:c r="F130" s="45" t="str">
        <x:v>DOS-003</x:v>
      </x:c>
      <x:c r="G130" s="45" t="str">
        <x:v>Karaoke 2.0 / Digital Isolation Chamber</x:v>
      </x:c>
      <x:c r="H130" s="37" t="str">
        <x:v>Linked idea, capability, or project component</x:v>
      </x:c>
      <x:c r="I130" s="38" t="str">
        <x:v>High</x:v>
      </x:c>
    </x:row>
    <x:row r="131" ht="42" customHeight="1">
      <x:c r="A131" s="78" t="n">
        <x:v>125</x:v>
      </x:c>
      <x:c r="B131" s="37" t="str">
        <x:v>Zaffie</x:v>
      </x:c>
      <x:c r="C131" s="37" t="str">
        <x:v>`ZAF`, AI/character</x:v>
      </x:c>
      <x:c r="D131" s="37" t="str">
        <x:v>ZAF Ecosystem, Apps, Platforms, Programs, and Business Systems</x:v>
      </x:c>
      <x:c r="E131" s="37" t="str">
        <x:v>AI guide, onboarding host, operating personality, and brand-centered messenger rather than a Derek-centered interface.</x:v>
      </x:c>
      <x:c r="F131" s="45" t="str">
        <x:v>DOS-014</x:v>
      </x:c>
      <x:c r="G131" s="45" t="str">
        <x:v>Zaffie</x:v>
      </x:c>
      <x:c r="H131" s="37" t="str">
        <x:v>Linked idea, capability, or project component</x:v>
      </x:c>
      <x:c r="I131" s="38" t="str">
        <x:v>High</x:v>
      </x:c>
    </x:row>
    <x:row r="132" ht="42" customHeight="1">
      <x:c r="A132" s="78" t="n">
        <x:v>126</x:v>
      </x:c>
      <x:c r="B132" s="37" t="str">
        <x:v>Zaffie’s Playground</x:v>
      </x:c>
      <x:c r="C132" s="37" t="str">
        <x:v>`ZAF`, app area</x:v>
      </x:c>
      <x:c r="D132" s="37" t="str">
        <x:v>ZAF Ecosystem, Apps, Platforms, Programs, and Business Systems</x:v>
      </x:c>
      <x:c r="E132" s="37" t="str">
        <x:v>Experimental, playful, AI-assisted creation and discovery space.</x:v>
      </x:c>
      <x:c r="F132" s="45" t="str">
        <x:v>DOS-014</x:v>
      </x:c>
      <x:c r="G132" s="45" t="str">
        <x:v>Zaffie</x:v>
      </x:c>
      <x:c r="H132" s="37" t="str">
        <x:v>Linked idea, capability, or project component</x:v>
      </x:c>
      <x:c r="I132" s="38" t="str">
        <x:v>High</x:v>
      </x:c>
    </x:row>
    <x:row r="133" ht="42" customHeight="1">
      <x:c r="A133" s="78" t="n">
        <x:v>127</x:v>
      </x:c>
      <x:c r="B133" s="37" t="str">
        <x:v>Z-Key / Captain Z-Key / Passcode Onboarding</x:v>
      </x:c>
      <x:c r="C133" s="37" t="str">
        <x:v>`ZAF`, access system</x:v>
      </x:c>
      <x:c r="D133" s="37" t="str">
        <x:v>ZAF Ecosystem, Apps, Platforms, Programs, and Business Systems</x:v>
      </x:c>
      <x:c r="E133" s="37" t="str">
        <x:v>Minimal role-based onboarding via ten passcodes, validation paths, and family/cousin distinctions.</x:v>
      </x:c>
      <x:c r="F133" s="45" t="str">
        <x:v>DOS-005</x:v>
      </x:c>
      <x:c r="G133" s="45" t="str">
        <x:v>ZAF Friends &amp; Family</x:v>
      </x:c>
      <x:c r="H133" s="37" t="str">
        <x:v>Operating / business-model component</x:v>
      </x:c>
      <x:c r="I133" s="38" t="str">
        <x:v>High</x:v>
      </x:c>
    </x:row>
    <x:row r="134" ht="42" customHeight="1">
      <x:c r="A134" s="78" t="n">
        <x:v>128</x:v>
      </x:c>
      <x:c r="B134" s="37" t="str">
        <x:v>Badge System</x:v>
      </x:c>
      <x:c r="C134" s="37" t="str">
        <x:v>`ZAF`, identity/economy</x:v>
      </x:c>
      <x:c r="D134" s="37" t="str">
        <x:v>ZAF Ecosystem, Apps, Platforms, Programs, and Business Systems</x:v>
      </x:c>
      <x:c r="E134" s="37" t="str">
        <x:v>Approximately 50–60 launch badges for status, participation, skills, and recognition.</x:v>
      </x:c>
      <x:c r="F134" s="45" t="str">
        <x:v>DOS-050</x:v>
      </x:c>
      <x:c r="G134" s="45" t="str">
        <x:v>ZAF Rewards, Loyalty &amp; Commerce</x:v>
      </x:c>
      <x:c r="H134" s="37" t="str">
        <x:v>Linked idea, capability, or project component</x:v>
      </x:c>
      <x:c r="I134" s="38" t="str">
        <x:v>High</x:v>
      </x:c>
    </x:row>
    <x:row r="135" ht="42" customHeight="1">
      <x:c r="A135" s="78" t="n">
        <x:v>129</x:v>
      </x:c>
      <x:c r="B135" s="37" t="str">
        <x:v>Passport Sticker System</x:v>
      </x:c>
      <x:c r="C135" s="37" t="str">
        <x:v>`ZAF`, identity/economy</x:v>
      </x:c>
      <x:c r="D135" s="37" t="str">
        <x:v>ZAF Ecosystem, Apps, Platforms, Programs, and Business Systems</x:v>
      </x:c>
      <x:c r="E135" s="37" t="str">
        <x:v>Collectible engagement and family-recognition layer.</x:v>
      </x:c>
      <x:c r="F135" s="45" t="str">
        <x:v>DOS-050</x:v>
      </x:c>
      <x:c r="G135" s="45" t="str">
        <x:v>ZAF Rewards, Loyalty &amp; Commerce</x:v>
      </x:c>
      <x:c r="H135" s="37" t="str">
        <x:v>Linked idea, capability, or project component</x:v>
      </x:c>
      <x:c r="I135" s="38" t="str">
        <x:v>High</x:v>
      </x:c>
    </x:row>
    <x:row r="136" ht="42" customHeight="1">
      <x:c r="A136" s="78" t="n">
        <x:v>130</x:v>
      </x:c>
      <x:c r="B136" s="37" t="str">
        <x:v>ZAF BUCKS</x:v>
      </x:c>
      <x:c r="C136" s="37" t="str">
        <x:v>`ZAF`, loyalty currency</x:v>
      </x:c>
      <x:c r="D136" s="37" t="str">
        <x:v>ZAF Ecosystem, Apps, Platforms, Programs, and Business Systems</x:v>
      </x:c>
      <x:c r="E136" s="37" t="str">
        <x:v>Engagement-linked coins that reduce real costs.</x:v>
      </x:c>
      <x:c r="F136" s="45" t="str">
        <x:v>DOS-050</x:v>
      </x:c>
      <x:c r="G136" s="45" t="str">
        <x:v>ZAF Rewards, Loyalty &amp; Commerce</x:v>
      </x:c>
      <x:c r="H136" s="37" t="str">
        <x:v>Linked idea, capability, or project component</x:v>
      </x:c>
      <x:c r="I136" s="38" t="str">
        <x:v>High</x:v>
      </x:c>
    </x:row>
    <x:row r="137" ht="42" customHeight="1">
      <x:c r="A137" s="78" t="n">
        <x:v>131</x:v>
      </x:c>
      <x:c r="B137" s="37" t="str">
        <x:v>Loyalty Shop</x:v>
      </x:c>
      <x:c r="C137" s="37" t="str">
        <x:v>`ZAF`, commerce</x:v>
      </x:c>
      <x:c r="D137" s="37" t="str">
        <x:v>ZAF Ecosystem, Apps, Platforms, Programs, and Business Systems</x:v>
      </x:c>
      <x:c r="E137" s="37" t="str">
        <x:v>Converts ZAF BUCKS and participation into savings, rewards, products, or services.</x:v>
      </x:c>
      <x:c r="F137" s="45" t="str">
        <x:v>DOS-050</x:v>
      </x:c>
      <x:c r="G137" s="45" t="str">
        <x:v>ZAF Rewards, Loyalty &amp; Commerce</x:v>
      </x:c>
      <x:c r="H137" s="37" t="str">
        <x:v>Linked idea, capability, or project component</x:v>
      </x:c>
      <x:c r="I137" s="38" t="str">
        <x:v>High</x:v>
      </x:c>
    </x:row>
    <x:row r="138" ht="42" customHeight="1">
      <x:c r="A138" s="78" t="n">
        <x:v>132</x:v>
      </x:c>
      <x:c r="B138" s="37" t="str">
        <x:v>Friends &amp; Family Jobs/Tasking System</x:v>
      </x:c>
      <x:c r="C138" s="37" t="str">
        <x:v>`ZAF`, operations</x:v>
      </x:c>
      <x:c r="D138" s="37" t="str">
        <x:v>ZAF Ecosystem, Apps, Platforms, Programs, and Business Systems</x:v>
      </x:c>
      <x:c r="E138" s="37" t="str">
        <x:v>Optional community roles, assignments, guidance, and participation structure.</x:v>
      </x:c>
      <x:c r="F138" s="45" t="str">
        <x:v>DOS-005</x:v>
      </x:c>
      <x:c r="G138" s="45" t="str">
        <x:v>ZAF Friends &amp; Family</x:v>
      </x:c>
      <x:c r="H138" s="37" t="str">
        <x:v>Operating / business-model component</x:v>
      </x:c>
      <x:c r="I138" s="38" t="str">
        <x:v>High</x:v>
      </x:c>
    </x:row>
    <x:row r="139" ht="42" customHeight="1">
      <x:c r="A139" s="78" t="n">
        <x:v>133</x:v>
      </x:c>
      <x:c r="B139" s="37" t="str">
        <x:v>Duet Facilitator / Duet Planner</x:v>
      </x:c>
      <x:c r="C139" s="37" t="str">
        <x:v>`ZAF`, family job</x:v>
      </x:c>
      <x:c r="D139" s="37" t="str">
        <x:v>ZAF Ecosystem, Apps, Platforms, Programs, and Business Systems</x:v>
      </x:c>
      <x:c r="E139" s="37" t="str">
        <x:v>Two members identify pairings, recommend songs, and coordinate collaborations.</x:v>
      </x:c>
      <x:c r="F139" s="45" t="str">
        <x:v>DOS-008</x:v>
      </x:c>
      <x:c r="G139" s="45" t="str">
        <x:v>ZAF Duet Dare &amp; Collaboration</x:v>
      </x:c>
      <x:c r="H139" s="37" t="str">
        <x:v>Linked idea, capability, or project component</x:v>
      </x:c>
      <x:c r="I139" s="38" t="str">
        <x:v>High</x:v>
      </x:c>
    </x:row>
    <x:row r="140" ht="42" customHeight="1">
      <x:c r="A140" s="78" t="n">
        <x:v>134</x:v>
      </x:c>
      <x:c r="B140" s="37" t="str">
        <x:v>Group Mapping + Scouting Program</x:v>
      </x:c>
      <x:c r="C140" s="37" t="str">
        <x:v>`ZAF`, growth operation</x:v>
      </x:c>
      <x:c r="D140" s="37" t="str">
        <x:v>ZAF Ecosystem, Apps, Platforms, Programs, and Business Systems</x:v>
      </x:c>
      <x:c r="E140" s="37" t="str">
        <x:v>Maps invite-only karaoke groups, obtains bridges/invitations, scouts candidates, and maintains the network list.</x:v>
      </x:c>
      <x:c r="F140" s="45" t="str">
        <x:v>DOS-005</x:v>
      </x:c>
      <x:c r="G140" s="45" t="str">
        <x:v>ZAF Friends &amp; Family</x:v>
      </x:c>
      <x:c r="H140" s="37" t="str">
        <x:v>Operating / business-model component</x:v>
      </x:c>
      <x:c r="I140" s="38" t="str">
        <x:v>High</x:v>
      </x:c>
    </x:row>
    <x:row r="141" ht="42" customHeight="1">
      <x:c r="A141" s="78" t="n">
        <x:v>135</x:v>
      </x:c>
      <x:c r="B141" s="37" t="str">
        <x:v>Weekly Activity Coordination</x:v>
      </x:c>
      <x:c r="C141" s="37" t="str">
        <x:v>`ZAF`, operations</x:v>
      </x:c>
      <x:c r="D141" s="37" t="str">
        <x:v>ZAF Ecosystem, Apps, Platforms, Programs, and Business Systems</x:v>
      </x:c>
      <x:c r="E141" s="37" t="str">
        <x:v>Two facilitators keep events, tasks, and group dynamics moving.</x:v>
      </x:c>
      <x:c r="F141" s="45" t="str">
        <x:v>DOS-005</x:v>
      </x:c>
      <x:c r="G141" s="45" t="str">
        <x:v>ZAF Friends &amp; Family</x:v>
      </x:c>
      <x:c r="H141" s="37" t="str">
        <x:v>Linked idea, capability, or project component</x:v>
      </x:c>
      <x:c r="I141" s="38" t="str">
        <x:v>High</x:v>
      </x:c>
    </x:row>
    <x:row r="142" ht="42" customHeight="1">
      <x:c r="A142" s="78" t="n">
        <x:v>136</x:v>
      </x:c>
      <x:c r="B142" s="37" t="str">
        <x:v>Task Difficulty + Guidance Role</x:v>
      </x:c>
      <x:c r="C142" s="37" t="str">
        <x:v>`ZAF`, operations</x:v>
      </x:c>
      <x:c r="D142" s="37" t="str">
        <x:v>ZAF Ecosystem, Apps, Platforms, Programs, and Business Systems</x:v>
      </x:c>
      <x:c r="E142" s="37" t="str">
        <x:v>Evaluates task burden, recommends support, and keeps optional participation sane.</x:v>
      </x:c>
      <x:c r="F142" s="45" t="str">
        <x:v>DOS-005</x:v>
      </x:c>
      <x:c r="G142" s="45" t="str">
        <x:v>ZAF Friends &amp; Family</x:v>
      </x:c>
      <x:c r="H142" s="37" t="str">
        <x:v>Operating / business-model component</x:v>
      </x:c>
      <x:c r="I142" s="38" t="str">
        <x:v>High</x:v>
      </x:c>
    </x:row>
    <x:row r="143" ht="42" customHeight="1">
      <x:c r="A143" s="78" t="n">
        <x:v>137</x:v>
      </x:c>
      <x:c r="B143" s="37" t="str">
        <x:v>Equipment Research Resource</x:v>
      </x:c>
      <x:c r="C143" s="37" t="str">
        <x:v>`ZAF`, content/service</x:v>
      </x:c>
      <x:c r="D143" s="37" t="str">
        <x:v>ZAF Ecosystem, Apps, Platforms, Programs, and Business Systems</x:v>
      </x:c>
      <x:c r="E143" s="37" t="str">
        <x:v>Shared member equipment/specification list and audio-quality best practices.</x:v>
      </x:c>
      <x:c r="F143" s="45" t="str">
        <x:v>DOS-005</x:v>
      </x:c>
      <x:c r="G143" s="45" t="str">
        <x:v>ZAF Friends &amp; Family</x:v>
      </x:c>
      <x:c r="H143" s="37" t="str">
        <x:v>Linked idea, capability, or project component</x:v>
      </x:c>
      <x:c r="I143" s="38" t="str">
        <x:v>High</x:v>
      </x:c>
    </x:row>
    <x:row r="144" ht="42" customHeight="1">
      <x:c r="A144" s="78" t="n">
        <x:v>138</x:v>
      </x:c>
      <x:c r="B144" s="37" t="str">
        <x:v>ZAF Family Beta Program</x:v>
      </x:c>
      <x:c r="C144" s="37" t="str">
        <x:v>`ZAF`, testing/growth</x:v>
      </x:c>
      <x:c r="D144" s="37" t="str">
        <x:v>ZAF Ecosystem, Apps, Platforms, Programs, and Business Systems</x:v>
      </x:c>
      <x:c r="E144" s="37" t="str">
        <x:v>Existing family serves as initial testers and cultural seed population.</x:v>
      </x:c>
      <x:c r="F144" s="45" t="str">
        <x:v>DOS-005</x:v>
      </x:c>
      <x:c r="G144" s="45" t="str">
        <x:v>ZAF Friends &amp; Family</x:v>
      </x:c>
      <x:c r="H144" s="37" t="str">
        <x:v>Preserved seed / definition needed</x:v>
      </x:c>
      <x:c r="I144" s="38" t="str">
        <x:v>High</x:v>
      </x:c>
    </x:row>
    <x:row r="145" ht="42" customHeight="1">
      <x:c r="A145" s="78" t="n">
        <x:v>139</x:v>
      </x:c>
      <x:c r="B145" s="37" t="str">
        <x:v>Zafstagram Social Core</x:v>
      </x:c>
      <x:c r="C145" s="37" t="str">
        <x:v>`ZAF`, modules</x:v>
      </x:c>
      <x:c r="D145" s="37" t="str">
        <x:v>ZAF Ecosystem, Apps, Platforms, Programs, and Business Systems</x:v>
      </x:c>
      <x:c r="E145" s="37" t="str">
        <x:v>Members directory, profile visits, peer chat, main feed, groups, and portfolio discovery.</x:v>
      </x:c>
      <x:c r="F145" s="45" t="str">
        <x:v>DOS-004</x:v>
      </x:c>
      <x:c r="G145" s="45" t="str">
        <x:v>Zafstagram</x:v>
      </x:c>
      <x:c r="H145" s="37" t="str">
        <x:v>Linked idea, capability, or project component</x:v>
      </x:c>
      <x:c r="I145" s="38" t="str">
        <x:v>High</x:v>
      </x:c>
    </x:row>
    <x:row r="146" ht="42" customHeight="1">
      <x:c r="A146" s="78" t="n">
        <x:v>140</x:v>
      </x:c>
      <x:c r="B146" s="37" t="str">
        <x:v>Label Ladder / Ascension System</x:v>
      </x:c>
      <x:c r="C146" s="37" t="str">
        <x:v>`ZAF`, business system</x:v>
      </x:c>
      <x:c r="D146" s="37" t="str">
        <x:v>ZAF Ecosystem, Apps, Platforms, Programs, and Business Systems</x:v>
      </x:c>
      <x:c r="E146" s="37" t="str">
        <x:v>Family → Creator → Artist → Producer → Label progression.</x:v>
      </x:c>
      <x:c r="F146" s="45" t="str">
        <x:v>DOS-051</x:v>
      </x:c>
      <x:c r="G146" s="45" t="str">
        <x:v>Virtual Labels, Talent Scouting &amp; Label Ladder</x:v>
      </x:c>
      <x:c r="H146" s="37" t="str">
        <x:v>Linked idea, capability, or project component</x:v>
      </x:c>
      <x:c r="I146" s="38" t="str">
        <x:v>High</x:v>
      </x:c>
    </x:row>
    <x:row r="147" ht="42" customHeight="1">
      <x:c r="A147" s="78" t="n">
        <x:v>141</x:v>
      </x:c>
      <x:c r="B147" s="37" t="str">
        <x:v>Virtual Record Labels + Talent Scouting</x:v>
      </x:c>
      <x:c r="C147" s="37" t="str">
        <x:v>`ZAF`, business/service</x:v>
      </x:c>
      <x:c r="D147" s="37" t="str">
        <x:v>ZAF Ecosystem, Apps, Platforms, Programs, and Business Systems</x:v>
      </x:c>
      <x:c r="E147" s="37" t="str">
        <x:v>Distributed labels, artist discovery, promotion, development, and production opportunities.</x:v>
      </x:c>
      <x:c r="F147" s="45" t="str">
        <x:v>DOS-051</x:v>
      </x:c>
      <x:c r="G147" s="45" t="str">
        <x:v>Virtual Labels, Talent Scouting &amp; Label Ladder</x:v>
      </x:c>
      <x:c r="H147" s="37" t="str">
        <x:v>Linked idea, capability, or project component</x:v>
      </x:c>
      <x:c r="I147" s="38" t="str">
        <x:v>High</x:v>
      </x:c>
    </x:row>
    <x:row r="148" ht="42" customHeight="1">
      <x:c r="A148" s="78" t="n">
        <x:v>142</x:v>
      </x:c>
      <x:c r="B148" s="37" t="str">
        <x:v>zaf.recordz / KaraokeDokie Recordz</x:v>
      </x:c>
      <x:c r="C148" s="37" t="str">
        <x:v>`ZAF`, label/media aliases</x:v>
      </x:c>
      <x:c r="D148" s="37" t="str">
        <x:v>ZAF Ecosystem, Apps, Platforms, Programs, and Business Systems</x:v>
      </x:c>
      <x:c r="E148" s="37" t="str">
        <x:v>Music-release, recognition, or production-brand concepts.</x:v>
      </x:c>
      <x:c r="F148" s="45" t="str">
        <x:v>DOS-051</x:v>
      </x:c>
      <x:c r="G148" s="45" t="str">
        <x:v>Virtual Labels, Talent Scouting &amp; Label Ladder</x:v>
      </x:c>
      <x:c r="H148" s="37" t="str">
        <x:v>Linked idea, capability, or project component</x:v>
      </x:c>
      <x:c r="I148" s="38" t="str">
        <x:v>High</x:v>
      </x:c>
    </x:row>
    <x:row r="149" ht="42" customHeight="1">
      <x:c r="A149" s="78" t="n">
        <x:v>143</x:v>
      </x:c>
      <x:c r="B149" s="37" t="str">
        <x:v>Record Achievement System</x:v>
      </x:c>
      <x:c r="C149" s="37" t="str">
        <x:v>`ZAF`, gamification</x:v>
      </x:c>
      <x:c r="D149" s="37" t="str">
        <x:v>ZAF Ecosystem, Apps, Platforms, Programs, and Business Systems</x:v>
      </x:c>
      <x:c r="E149" s="37" t="str">
        <x:v>Stops, Plays, Records, and collectible achievement levels.</x:v>
      </x:c>
      <x:c r="F149" s="45" t="str">
        <x:v>DOS-007</x:v>
      </x:c>
      <x:c r="G149" s="45" t="str">
        <x:v>ZAF Prestige</x:v>
      </x:c>
      <x:c r="H149" s="37" t="str">
        <x:v>Linked idea, capability, or project component</x:v>
      </x:c>
      <x:c r="I149" s="38" t="str">
        <x:v>High</x:v>
      </x:c>
    </x:row>
    <x:row r="150" ht="42" customHeight="1">
      <x:c r="A150" s="78" t="n">
        <x:v>144</x:v>
      </x:c>
      <x:c r="B150" s="37" t="str">
        <x:v>Penny-to-Silver-Dollar Albums</x:v>
      </x:c>
      <x:c r="C150" s="37" t="str">
        <x:v>`ZAF`, achievement products</x:v>
      </x:c>
      <x:c r="D150" s="37" t="str">
        <x:v>ZAF Ecosystem, Apps, Platforms, Programs, and Business Systems</x:v>
      </x:c>
      <x:c r="E150" s="37" t="str">
        <x:v>Penny, Nickel, Dime, Quarter, Half-Dollar, and Silver-Dollar style album/status ladder.</x:v>
      </x:c>
      <x:c r="F150" s="45" t="str">
        <x:v>DOS-007</x:v>
      </x:c>
      <x:c r="G150" s="45" t="str">
        <x:v>ZAF Prestige</x:v>
      </x:c>
      <x:c r="H150" s="37" t="str">
        <x:v>Linked idea, capability, or project component</x:v>
      </x:c>
      <x:c r="I150" s="38" t="str">
        <x:v>High</x:v>
      </x:c>
    </x:row>
    <x:row r="151" ht="42" customHeight="1">
      <x:c r="A151" s="78" t="n">
        <x:v>145</x:v>
      </x:c>
      <x:c r="B151" s="37" t="str">
        <x:v>Cosmic Subscription Tiers</x:v>
      </x:c>
      <x:c r="C151" s="37" t="str">
        <x:v>`ZAF`, pricing</x:v>
      </x:c>
      <x:c r="D151" s="37" t="str">
        <x:v>ZAF Ecosystem, Apps, Platforms, Programs, and Business Systems</x:v>
      </x:c>
      <x:c r="E151" s="37" t="str">
        <x:v>Premium hierarchy from Astral through Galaxy-level services.</x:v>
      </x:c>
      <x:c r="F151" s="45" t="str">
        <x:v>DOS-007</x:v>
      </x:c>
      <x:c r="G151" s="45" t="str">
        <x:v>ZAF Prestige</x:v>
      </x:c>
      <x:c r="H151" s="37" t="str">
        <x:v>Linked idea, capability, or project component</x:v>
      </x:c>
      <x:c r="I151" s="38" t="str">
        <x:v>High</x:v>
      </x:c>
    </x:row>
    <x:row r="152" ht="42" customHeight="1">
      <x:c r="A152" s="78" t="n">
        <x:v>146</x:v>
      </x:c>
      <x:c r="B152" s="37" t="str">
        <x:v>Prestige Namespace + Artist Domains</x:v>
      </x:c>
      <x:c r="C152" s="37" t="str">
        <x:v>`ZAF`, web/business model</x:v>
      </x:c>
      <x:c r="D152" s="37" t="str">
        <x:v>ZAF Ecosystem, Apps, Platforms, Programs, and Business Systems</x:v>
      </x:c>
      <x:c r="E152" s="37" t="str">
        <x:v>Tiered `.rocks` identities and domain-based prestige.</x:v>
      </x:c>
      <x:c r="F152" s="45" t="str">
        <x:v>DOS-011</x:v>
      </x:c>
      <x:c r="G152" s="45" t="str">
        <x:v>zaf.rocks Central Hub</x:v>
      </x:c>
      <x:c r="H152" s="37" t="str">
        <x:v>Linked idea, capability, or project component</x:v>
      </x:c>
      <x:c r="I152" s="38" t="str">
        <x:v>High</x:v>
      </x:c>
    </x:row>
    <x:row r="153" ht="42" customHeight="1">
      <x:c r="A153" s="78" t="n">
        <x:v>147</x:v>
      </x:c>
      <x:c r="B153" s="37" t="str">
        <x:v>ZAF Merchandise Shop</x:v>
      </x:c>
      <x:c r="C153" s="37" t="str">
        <x:v>`ZAF`, commerce</x:v>
      </x:c>
      <x:c r="D153" s="37" t="str">
        <x:v>ZAF Ecosystem, Apps, Platforms, Programs, and Business Systems</x:v>
      </x:c>
      <x:c r="E153" s="37" t="str">
        <x:v>Branded merchandise and print-on-demand products.</x:v>
      </x:c>
      <x:c r="F153" s="45" t="str">
        <x:v>DOS-052</x:v>
      </x:c>
      <x:c r="G153" s="45" t="str">
        <x:v>ZAF Merchandise &amp; Patronage</x:v>
      </x:c>
      <x:c r="H153" s="37" t="str">
        <x:v>Linked idea, capability, or project component</x:v>
      </x:c>
      <x:c r="I153" s="38" t="str">
        <x:v>High</x:v>
      </x:c>
    </x:row>
    <x:row r="154" ht="42" customHeight="1">
      <x:c r="A154" s="78" t="n">
        <x:v>148</x:v>
      </x:c>
      <x:c r="B154" s="37" t="str">
        <x:v>Patronage + Sponsored Recognition</x:v>
      </x:c>
      <x:c r="C154" s="37" t="str">
        <x:v>`ZAF`, business model</x:v>
      </x:c>
      <x:c r="D154" s="37" t="str">
        <x:v>ZAF Ecosystem, Apps, Platforms, Programs, and Business Systems</x:v>
      </x:c>
      <x:c r="E154" s="37" t="str">
        <x:v>Fans/patrons fund tributes, artifacts, honors, or premium presentation.</x:v>
      </x:c>
      <x:c r="F154" s="45" t="str">
        <x:v>DOS-052</x:v>
      </x:c>
      <x:c r="G154" s="45" t="str">
        <x:v>ZAF Merchandise &amp; Patronage</x:v>
      </x:c>
      <x:c r="H154" s="37" t="str">
        <x:v>Linked idea, capability, or project component</x:v>
      </x:c>
      <x:c r="I154" s="38" t="str">
        <x:v>High</x:v>
      </x:c>
    </x:row>
    <x:row r="155" ht="42" customHeight="1">
      <x:c r="A155" s="78" t="n">
        <x:v>149</x:v>
      </x:c>
      <x:c r="B155" s="37" t="str">
        <x:v>Front Page UI / Five-Screen Launch Shell</x:v>
      </x:c>
      <x:c r="C155" s="37" t="str">
        <x:v>`ZAF`, app build</x:v>
      </x:c>
      <x:c r="D155" s="37" t="str">
        <x:v>ZAF Ecosystem, Apps, Platforms, Programs, and Business Systems</x:v>
      </x:c>
      <x:c r="E155" s="37" t="str">
        <x:v>Mobile-first shell joining Production Portal, Portfolios, Social/Groups, Loyalty, and Vocal Isolation/creation areas.</x:v>
      </x:c>
      <x:c r="F155" s="45" t="str">
        <x:v>DOS-004</x:v>
      </x:c>
      <x:c r="G155" s="45" t="str">
        <x:v>Zafstagram</x:v>
      </x:c>
      <x:c r="H155" s="37" t="str">
        <x:v>Linked idea, capability, or project component</x:v>
      </x:c>
      <x:c r="I155" s="38" t="str">
        <x:v>High</x:v>
      </x:c>
    </x:row>
    <x:row r="156" ht="42" customHeight="1">
      <x:c r="A156" s="78" t="n">
        <x:v>150</x:v>
      </x:c>
      <x:c r="B156" s="37" t="str">
        <x:v>Negative One + Zero Layers</x:v>
      </x:c>
      <x:c r="C156" s="37" t="str">
        <x:v>`ZAF`, architecture</x:v>
      </x:c>
      <x:c r="D156" s="37" t="str">
        <x:v>ZAF Ecosystem, Apps, Platforms, Programs, and Business Systems</x:v>
      </x:c>
      <x:c r="E156" s="37" t="str">
        <x:v>Hidden systems layer followed by onboarding/Zaffie initialization before visible tabs.</x:v>
      </x:c>
      <x:c r="F156" s="45" t="str">
        <x:v>DOS-004</x:v>
      </x:c>
      <x:c r="G156" s="45" t="str">
        <x:v>Zafstagram</x:v>
      </x:c>
      <x:c r="H156" s="37" t="str">
        <x:v>Linked idea, capability, or project component</x:v>
      </x:c>
      <x:c r="I156" s="38" t="str">
        <x:v>High</x:v>
      </x:c>
    </x:row>
    <x:row r="157" ht="42" customHeight="1">
      <x:c r="A157" s="78" t="n">
        <x:v>151</x:v>
      </x:c>
      <x:c r="B157" s="37" t="str">
        <x:v>ZAF Universe</x:v>
      </x:c>
      <x:c r="C157" s="37" t="str">
        <x:v>`ZAF`, umbrella/worldbuilding</x:v>
      </x:c>
      <x:c r="D157" s="37" t="str">
        <x:v>ZAF Ecosystem, Apps, Platforms, Programs, and Business Systems</x:v>
      </x:c>
      <x:c r="E157" s="37" t="str">
        <x:v>The larger branded digital civilization connecting apps, media, services, identity, and lore.</x:v>
      </x:c>
      <x:c r="F157" s="45" t="str">
        <x:v>DOS-039</x:v>
      </x:c>
      <x:c r="G157" s="45" t="str">
        <x:v>ZAF Shared Platform Foundation</x:v>
      </x:c>
      <x:c r="H157" s="37" t="str">
        <x:v>Linked idea, capability, or project component</x:v>
      </x:c>
      <x:c r="I157" s="38" t="str">
        <x:v>High</x:v>
      </x:c>
    </x:row>
    <x:row r="158" ht="42" customHeight="1">
      <x:c r="A158" s="78" t="n">
        <x:v>152</x:v>
      </x:c>
      <x:c r="B158" s="37" t="str">
        <x:v>Unicode Universe</x:v>
      </x:c>
      <x:c r="C158" s="37" t="str">
        <x:v>`ZAF`, identity system</x:v>
      </x:c>
      <x:c r="D158" s="37" t="str">
        <x:v>ZAF Ecosystem, Apps, Platforms, Programs, and Business Systems</x:v>
      </x:c>
      <x:c r="E158" s="37" t="str">
        <x:v>Glyphs, symbols, Unicode culture, visual nomenclature, and brand differentiation.</x:v>
      </x:c>
      <x:c r="F158" s="45" t="str">
        <x:v>DOS-015</x:v>
      </x:c>
      <x:c r="G158" s="45" t="str">
        <x:v>ZAF Identity StudioZ / Unicode Universe</x:v>
      </x:c>
      <x:c r="H158" s="37" t="str">
        <x:v>Linked idea, capability, or project component</x:v>
      </x:c>
      <x:c r="I158" s="38" t="str">
        <x:v>High</x:v>
      </x:c>
    </x:row>
    <x:row r="159" ht="42" customHeight="1">
      <x:c r="A159" s="78" t="n">
        <x:v>153</x:v>
      </x:c>
      <x:c r="B159" s="37" t="str">
        <x:v>ZAF Master Vault / Living Codex</x:v>
      </x:c>
      <x:c r="C159" s="37" t="str">
        <x:v>`META`</x:v>
      </x:c>
      <x:c r="D159" s="37" t="str">
        <x:v>ZAF Ecosystem, Apps, Platforms, Programs, and Business Systems</x:v>
      </x:c>
      <x:c r="E159" s="37" t="str">
        <x:v>Canonical, near-static knowledge and decision repository.</x:v>
      </x:c>
      <x:c r="F159" s="45" t="str">
        <x:v>DOS-040</x:v>
      </x:c>
      <x:c r="G159" s="45" t="str">
        <x:v>ZAF Master Vault &amp; Compiler</x:v>
      </x:c>
      <x:c r="H159" s="37" t="str">
        <x:v>Linked idea, capability, or project component</x:v>
      </x:c>
      <x:c r="I159" s="38" t="str">
        <x:v>High</x:v>
      </x:c>
    </x:row>
    <x:row r="160" ht="42" customHeight="1">
      <x:c r="A160" s="78" t="n">
        <x:v>154</x:v>
      </x:c>
      <x:c r="B160" s="37" t="str">
        <x:v>ZAF Compiler</x:v>
      </x:c>
      <x:c r="C160" s="37" t="str">
        <x:v>`META`</x:v>
      </x:c>
      <x:c r="D160" s="37" t="str">
        <x:v>ZAF Ecosystem, Apps, Platforms, Programs, and Business Systems</x:v>
      </x:c>
      <x:c r="E160" s="37" t="str">
        <x:v>Intake, extraction, organization, deduplication, and codex-merge system for source material.</x:v>
      </x:c>
      <x:c r="F160" s="45" t="str">
        <x:v>DOS-040</x:v>
      </x:c>
      <x:c r="G160" s="45" t="str">
        <x:v>ZAF Master Vault &amp; Compiler</x:v>
      </x:c>
      <x:c r="H160" s="37" t="str">
        <x:v>Linked idea, capability, or project component</x:v>
      </x:c>
      <x:c r="I160" s="38" t="str">
        <x:v>High</x:v>
      </x:c>
    </x:row>
    <x:row r="161" ht="42" customHeight="1">
      <x:c r="A161" s="78" t="n">
        <x:v>155</x:v>
      </x:c>
      <x:c r="B161" s="37" t="str">
        <x:v>ZAF Museum</x:v>
      </x:c>
      <x:c r="C161" s="37" t="str">
        <x:v>`META`</x:v>
      </x:c>
      <x:c r="D161" s="37" t="str">
        <x:v>ZAF Ecosystem, Apps, Platforms, Programs, and Business Systems</x:v>
      </x:c>
      <x:c r="E161" s="37" t="str">
        <x:v>Historical archive for cultural fossils, abandoned branches, artifacts, and evolution.</x:v>
      </x:c>
      <x:c r="F161" s="45" t="str">
        <x:v>DOS-041</x:v>
      </x:c>
      <x:c r="G161" s="45" t="str">
        <x:v>ZAF Museum &amp; Source Archive</x:v>
      </x:c>
      <x:c r="H161" s="37" t="str">
        <x:v>Linked idea, capability, or project component</x:v>
      </x:c>
      <x:c r="I161" s="38" t="str">
        <x:v>High</x:v>
      </x:c>
    </x:row>
    <x:row r="162" ht="42" customHeight="1">
      <x:c r="A162" s="78" t="n">
        <x:v>156</x:v>
      </x:c>
      <x:c r="B162" s="37" t="str">
        <x:v>ZAF Constitution</x:v>
      </x:c>
      <x:c r="C162" s="37" t="str">
        <x:v>`META`</x:v>
      </x:c>
      <x:c r="D162" s="37" t="str">
        <x:v>ZAF Ecosystem, Apps, Platforms, Programs, and Business Systems</x:v>
      </x:c>
      <x:c r="E162" s="37" t="str">
        <x:v>Core doctrine, operating rules, values, and institutional logic.</x:v>
      </x:c>
      <x:c r="F162" s="45" t="str">
        <x:v>DOS-040</x:v>
      </x:c>
      <x:c r="G162" s="45" t="str">
        <x:v>ZAF Master Vault &amp; Compiler</x:v>
      </x:c>
      <x:c r="H162" s="37" t="str">
        <x:v>Operating / business-model component</x:v>
      </x:c>
      <x:c r="I162" s="38" t="str">
        <x:v>High</x:v>
      </x:c>
    </x:row>
    <x:row r="163" ht="42" customHeight="1">
      <x:c r="A163" s="78" t="n">
        <x:v>157</x:v>
      </x:c>
      <x:c r="B163" s="37" t="str">
        <x:v>ZAF City Blueprint</x:v>
      </x:c>
      <x:c r="C163" s="37" t="str">
        <x:v>`META`</x:v>
      </x:c>
      <x:c r="D163" s="37" t="str">
        <x:v>ZAF Ecosystem, Apps, Platforms, Programs, and Business Systems</x:v>
      </x:c>
      <x:c r="E163" s="37" t="str">
        <x:v>Structural metaphor/architecture mapping the ecosystem as a coherent civilization.</x:v>
      </x:c>
      <x:c r="F163" s="45" t="str">
        <x:v>DOS-040</x:v>
      </x:c>
      <x:c r="G163" s="45" t="str">
        <x:v>ZAF Master Vault &amp; Compiler</x:v>
      </x:c>
      <x:c r="H163" s="37" t="str">
        <x:v>Linked idea, capability, or project component</x:v>
      </x:c>
      <x:c r="I163" s="38" t="str">
        <x:v>High</x:v>
      </x:c>
    </x:row>
    <x:row r="164" ht="42" customHeight="1">
      <x:c r="A164" s="78" t="n">
        <x:v>158</x:v>
      </x:c>
      <x:c r="B164" s="37" t="str">
        <x:v>ZAF Source Packet Archive</x:v>
      </x:c>
      <x:c r="C164" s="37" t="str">
        <x:v>`META`</x:v>
      </x:c>
      <x:c r="D164" s="37" t="str">
        <x:v>ZAF Ecosystem, Apps, Platforms, Programs, and Business Systems</x:v>
      </x:c>
      <x:c r="E164" s="37" t="str">
        <x:v>Full-Archaeology source preservation, indexing, chronology, contradictions, and deletion-safety system.</x:v>
      </x:c>
      <x:c r="F164" s="45" t="str">
        <x:v>DOS-041</x:v>
      </x:c>
      <x:c r="G164" s="45" t="str">
        <x:v>ZAF Museum &amp; Source Archive</x:v>
      </x:c>
      <x:c r="H164" s="37" t="str">
        <x:v>Linked idea, capability, or project component</x:v>
      </x:c>
      <x:c r="I164" s="38" t="str">
        <x:v>High</x:v>
      </x:c>
    </x:row>
    <x:row r="165" ht="42" customHeight="1">
      <x:c r="A165" s="78" t="n">
        <x:v>159</x:v>
      </x:c>
      <x:c r="B165" s="37" t="str">
        <x:v>Four-Project ZAF Architecture</x:v>
      </x:c>
      <x:c r="C165" s="37" t="str">
        <x:v>`META`</x:v>
      </x:c>
      <x:c r="D165" s="37" t="str">
        <x:v>ZAF Ecosystem, Apps, Platforms, Programs, and Business Systems</x:v>
      </x:c>
      <x:c r="E165" s="37" t="str">
        <x:v>Compiler/organizer, master vault, strategy council, and controlled builder trials.</x:v>
      </x:c>
      <x:c r="F165" s="45" t="str">
        <x:v>DOS-042</x:v>
      </x:c>
      <x:c r="G165" s="45" t="str">
        <x:v>ZAF Strategy Council &amp; Builder Trials</x:v>
      </x:c>
      <x:c r="H165" s="37" t="str">
        <x:v>Operating / business-model component</x:v>
      </x:c>
      <x:c r="I165" s="38" t="str">
        <x:v>High</x:v>
      </x:c>
    </x:row>
    <x:row r="166" ht="42" customHeight="1">
      <x:c r="A166" s="78" t="n">
        <x:v>160</x:v>
      </x:c>
      <x:c r="B166" s="37" t="str">
        <x:v>ZAF Strategy Council</x:v>
      </x:c>
      <x:c r="C166" s="37" t="str">
        <x:v>`META`</x:v>
      </x:c>
      <x:c r="D166" s="37" t="str">
        <x:v>ZAF Ecosystem, Apps, Platforms, Programs, and Business Systems</x:v>
      </x:c>
      <x:c r="E166" s="37" t="str">
        <x:v>Evaluates business direction, priorities, constraints, and tradeoffs.</x:v>
      </x:c>
      <x:c r="F166" s="45" t="str">
        <x:v>DOS-042</x:v>
      </x:c>
      <x:c r="G166" s="45" t="str">
        <x:v>ZAF Strategy Council &amp; Builder Trials</x:v>
      </x:c>
      <x:c r="H166" s="37" t="str">
        <x:v>Operating / business-model component</x:v>
      </x:c>
      <x:c r="I166" s="38" t="str">
        <x:v>High</x:v>
      </x:c>
    </x:row>
    <x:row r="167" ht="42" customHeight="1">
      <x:c r="A167" s="78" t="n">
        <x:v>161</x:v>
      </x:c>
      <x:c r="B167" s="37" t="str">
        <x:v>Builder Trials / Platform Benchmark</x:v>
      </x:c>
      <x:c r="C167" s="37" t="str">
        <x:v>`META`</x:v>
      </x:c>
      <x:c r="D167" s="37" t="str">
        <x:v>ZAF Ecosystem, Apps, Platforms, Programs, and Business Systems</x:v>
      </x:c>
      <x:c r="E167" s="37" t="str">
        <x:v>Controlled tests to select two app builders and two website builders.</x:v>
      </x:c>
      <x:c r="F167" s="45" t="str">
        <x:v>DOS-042</x:v>
      </x:c>
      <x:c r="G167" s="45" t="str">
        <x:v>ZAF Strategy Council &amp; Builder Trials</x:v>
      </x:c>
      <x:c r="H167" s="37" t="str">
        <x:v>Linked idea, capability, or project component</x:v>
      </x:c>
      <x:c r="I167" s="38" t="str">
        <x:v>High</x:v>
      </x:c>
    </x:row>
    <x:row r="168" ht="42" customHeight="1">
      <x:c r="A168" s="78" t="n">
        <x:v>162</x:v>
      </x:c>
      <x:c r="B168" s="37" t="str">
        <x:v>Private 4-Dimensional Information Site</x:v>
      </x:c>
      <x:c r="C168" s="37" t="str">
        <x:v>`META`, website concept</x:v>
      </x:c>
      <x:c r="D168" s="37" t="str">
        <x:v>ZAF Ecosystem, Apps, Platforms, Programs, and Business Systems</x:v>
      </x:c>
      <x:c r="E168" s="37" t="str">
        <x:v>Future navigable ZAF knowledge web/string beyond ordinary folders and documents.</x:v>
      </x:c>
      <x:c r="F168" s="45" t="str">
        <x:v>DOS-043</x:v>
      </x:c>
      <x:c r="G168" s="45" t="str">
        <x:v>Private 4-Dimensional Information Site</x:v>
      </x:c>
      <x:c r="H168" s="37" t="str">
        <x:v>Linked idea, capability, or project component</x:v>
      </x:c>
      <x:c r="I168" s="38" t="str">
        <x:v>High</x:v>
      </x:c>
    </x:row>
    <x:row r="169" ht="42" customHeight="1">
      <x:c r="A169" s="78" t="n">
        <x:v>163</x:v>
      </x:c>
      <x:c r="B169" s="37" t="str">
        <x:v>Customization Prompt Archive + Lab</x:v>
      </x:c>
      <x:c r="C169" s="37" t="str">
        <x:v>`META`</x:v>
      </x:c>
      <x:c r="D169" s="37" t="str">
        <x:v>ZAF Ecosystem, Apps, Platforms, Programs, and Business Systems</x:v>
      </x:c>
      <x:c r="E169" s="37" t="str">
        <x:v>Stores current/archived instructions and develops future customization systems.</x:v>
      </x:c>
      <x:c r="F169" s="45" t="str">
        <x:v>DOS-044</x:v>
      </x:c>
      <x:c r="G169" s="45" t="str">
        <x:v>Customization Prompt Archive + Lab</x:v>
      </x:c>
      <x:c r="H169" s="37" t="str">
        <x:v>Linked idea, capability, or project component</x:v>
      </x:c>
      <x:c r="I169" s="38" t="str">
        <x:v>High</x:v>
      </x:c>
    </x:row>
    <x:row r="170" ht="42" customHeight="1">
      <x:c r="A170" s="78" t="n">
        <x:v>164</x:v>
      </x:c>
      <x:c r="B170" s="37" t="str">
        <x:v>ZAF Brand Color + Visual Standards System</x:v>
      </x:c>
      <x:c r="C170" s="37" t="str">
        <x:v>`ZAF`, brand project</x:v>
      </x:c>
      <x:c r="D170" s="37" t="str">
        <x:v>ZAF Ecosystem, Apps, Platforms, Programs, and Business Systems</x:v>
      </x:c>
      <x:c r="E170" s="37" t="str">
        <x:v>Indigo/violet corporate system, black/gold Zafstagram system, gradients, contrast, typography, and lockup work.</x:v>
      </x:c>
      <x:c r="F170" s="45" t="str">
        <x:v>DOS-058</x:v>
      </x:c>
      <x:c r="G170" s="45" t="str">
        <x:v>ZAF Brand, Namespace &amp; Visual Standards</x:v>
      </x:c>
      <x:c r="H170" s="37" t="str">
        <x:v>Linked idea, capability, or project component</x:v>
      </x:c>
      <x:c r="I170" s="38" t="str">
        <x:v>High</x:v>
      </x:c>
    </x:row>
    <x:row r="171" ht="42" customHeight="1">
      <x:c r="A171" s="78" t="n">
        <x:v>165</x:v>
      </x:c>
      <x:c r="B171" s="37" t="str">
        <x:v>ZAF Namespace/Linguistic Culture</x:v>
      </x:c>
      <x:c r="C171" s="37" t="str">
        <x:v>`ZAF`, strategic asset</x:v>
      </x:c>
      <x:c r="D171" s="37" t="str">
        <x:v>ZAF Ecosystem, Apps, Platforms, Programs, and Business Systems</x:v>
      </x:c>
      <x:c r="E171" s="37" t="str">
        <x:v>`.rocks`, lowercase culture, coined language, symbolism, prestige normalization, and Zaffie-driven operating myth.</x:v>
      </x:c>
      <x:c r="F171" s="45" t="str">
        <x:v>DOS-058</x:v>
      </x:c>
      <x:c r="G171" s="45" t="str">
        <x:v>ZAF Brand, Namespace &amp; Visual Standards</x:v>
      </x:c>
      <x:c r="H171" s="37" t="str">
        <x:v>Linked idea, capability, or project component</x:v>
      </x:c>
      <x:c r="I171" s="38" t="str">
        <x:v>High</x:v>
      </x:c>
    </x:row>
    <x:row r="172" ht="42" customHeight="1">
      <x:c r="A172" s="78" t="n">
        <x:v>166</x:v>
      </x:c>
      <x:c r="B172" s="37" t="str">
        <x:v>Lessons, Workshops, Events, Forum + Blog</x:v>
      </x:c>
      <x:c r="C172" s="37" t="str">
        <x:v>`ZAF`, services/content</x:v>
      </x:c>
      <x:c r="D172" s="37" t="str">
        <x:v>ZAF Ecosystem, Apps, Platforms, Programs, and Business Systems</x:v>
      </x:c>
      <x:c r="E172" s="37" t="str">
        <x:v>Education, community programming, recurring events, discussion, and owned media.</x:v>
      </x:c>
      <x:c r="F172" s="45" t="str">
        <x:v>DOS-045</x:v>
      </x:c>
      <x:c r="G172" s="45" t="str">
        <x:v>ZAF Lessons, Workshops, Events, Forum + Blog</x:v>
      </x:c>
      <x:c r="H172" s="37" t="str">
        <x:v>Operating / business-model component</x:v>
      </x:c>
      <x:c r="I172" s="38" t="str">
        <x:v>High</x:v>
      </x:c>
    </x:row>
    <x:row r="173" ht="42" customHeight="1">
      <x:c r="A173" s="78" t="n">
        <x:v>167</x:v>
      </x:c>
      <x:c r="B173" s="37" t="str">
        <x:v>Platform-Neutral Performance Bridge</x:v>
      </x:c>
      <x:c r="C173" s="37" t="str">
        <x:v>`ZAF`, infrastructure</x:v>
      </x:c>
      <x:c r="D173" s="37" t="str">
        <x:v>ZAF Ecosystem, Apps, Platforms, Programs, and Business Systems</x:v>
      </x:c>
      <x:c r="E173" s="37" t="str">
        <x:v>Users perform anywhere, bring links/artifacts into ZAF, and receive identity, enhancement, discovery, or recognition.</x:v>
      </x:c>
      <x:c r="F173" s="45" t="str">
        <x:v>DOS-039</x:v>
      </x:c>
      <x:c r="G173" s="45" t="str">
        <x:v>ZAF Shared Platform Foundation</x:v>
      </x:c>
      <x:c r="H173" s="37" t="str">
        <x:v>Linked idea, capability, or project component</x:v>
      </x:c>
      <x:c r="I173" s="38" t="str">
        <x:v>High</x:v>
      </x:c>
    </x:row>
    <x:row r="174" ht="42" customHeight="1">
      <x:c r="A174" s="78" t="n">
        <x:v>168</x:v>
      </x:c>
      <x:c r="B174" s="37" t="str">
        <x:v>Karaoke Dating</x:v>
      </x:c>
      <x:c r="C174" s="37" t="str">
        <x:v>`ZAF-adjacent`, app seed</x:v>
      </x:c>
      <x:c r="D174" s="37" t="str">
        <x:v>ZAF Ecosystem, Apps, Platforms, Programs, and Business Systems</x:v>
      </x:c>
      <x:c r="E174" s="37" t="str">
        <x:v>Karaoke-centered matching/relationship concept; scope remains underdeveloped.</x:v>
      </x:c>
      <x:c r="F174" s="45" t="str">
        <x:v>DOS-038</x:v>
      </x:c>
      <x:c r="G174" s="45" t="str">
        <x:v>Karaoke Dating</x:v>
      </x:c>
      <x:c r="H174" s="37" t="str">
        <x:v>Preserved seed / definition needed</x:v>
      </x:c>
      <x:c r="I174" s="38" t="str">
        <x:v>High</x:v>
      </x:c>
    </x:row>
    <x:row r="175" ht="42" customHeight="1">
      <x:c r="A175" s="78" t="n">
        <x:v>169</x:v>
      </x:c>
      <x:c r="B175" s="37" t="str">
        <x:v>ZAFtastic Community Hub</x:v>
      </x:c>
      <x:c r="C175" s="37" t="str">
        <x:v>`ZAF-adjacent`, physical/service ecosystem</x:v>
      </x:c>
      <x:c r="D175" s="37" t="str">
        <x:v>ZAF Ecosystem, Apps, Platforms, Programs, and Business Systems</x:v>
      </x:c>
      <x:c r="E175" s="37" t="str">
        <x:v>Airport/mall-style central hub with concentric food, wellness, care, recreation, learning, medical, administrative, pet, and home services.</x:v>
      </x:c>
      <x:c r="F175" s="45" t="str">
        <x:v>DOS-037</x:v>
      </x:c>
      <x:c r="G175" s="45" t="str">
        <x:v>ZAFtastic Community Hub / Life Hub</x:v>
      </x:c>
      <x:c r="H175" s="37" t="str">
        <x:v>Linked idea, capability, or project component</x:v>
      </x:c>
      <x:c r="I175" s="38" t="str">
        <x:v>High</x:v>
      </x:c>
    </x:row>
    <x:row r="176" ht="42" customHeight="1">
      <x:c r="A176" s="78" t="n">
        <x:v>170</x:v>
      </x:c>
      <x:c r="B176" s="37" t="str">
        <x:v>My Invention Ideas Vault</x:v>
      </x:c>
      <x:c r="C176" s="37" t="str">
        <x:v>`META`</x:v>
      </x:c>
      <x:c r="D176" s="37" t="str">
        <x:v>Standalone and Cross-Ecosystem Ventures, Inventions, Builds, and Business Seeds</x:v>
      </x:c>
      <x:c r="E176" s="37" t="str">
        <x:v>Stores, scores, force-ranks, mutates, validates, parks, or kills Derek’s invention and business concepts.</x:v>
      </x:c>
      <x:c r="F176" s="45" t="str">
        <x:v>DOS-040</x:v>
      </x:c>
      <x:c r="G176" s="45" t="str">
        <x:v>ZAF Master Vault &amp; Compiler</x:v>
      </x:c>
      <x:c r="H176" s="37" t="str">
        <x:v>Linked idea, capability, or project component</x:v>
      </x:c>
      <x:c r="I176" s="38" t="str">
        <x:v>High</x:v>
      </x:c>
    </x:row>
    <x:row r="177" ht="42" customHeight="1">
      <x:c r="A177" s="78" t="n">
        <x:v>171</x:v>
      </x:c>
      <x:c r="B177" s="37" t="str">
        <x:v>Prompt Vault PWA / PromptOS / PromptForge</x:v>
      </x:c>
      <x:c r="C177" s="37" t="str">
        <x:v>`STANDALONE`, app</x:v>
      </x:c>
      <x:c r="D177" s="37" t="str">
        <x:v>Standalone and Cross-Ecosystem Ventures, Inventions, Builds, and Business Seeds</x:v>
      </x:c>
      <x:c r="E177" s="37" t="str">
        <x:v>Creates, stores, categorizes, versions, compares, adapts, and reuses prompts across AI platforms.</x:v>
      </x:c>
      <x:c r="F177" s="45" t="str">
        <x:v>DOS-018</x:v>
      </x:c>
      <x:c r="G177" s="45" t="str">
        <x:v>Prompt Vault / PromptOS / PromptForge</x:v>
      </x:c>
      <x:c r="H177" s="37" t="str">
        <x:v>Linked idea, capability, or project component</x:v>
      </x:c>
      <x:c r="I177" s="38" t="str">
        <x:v>High</x:v>
      </x:c>
    </x:row>
    <x:row r="178" ht="42" customHeight="1">
      <x:c r="A178" s="78" t="n">
        <x:v>172</x:v>
      </x:c>
      <x:c r="B178" s="37" t="str">
        <x:v>Prompt IDE + Lovable Handoff</x:v>
      </x:c>
      <x:c r="C178" s="37" t="str">
        <x:v>`STANDALONE`, module</x:v>
      </x:c>
      <x:c r="D178" s="37" t="str">
        <x:v>Standalone and Cross-Ecosystem Ventures, Inventions, Builds, and Business Seeds</x:v>
      </x:c>
      <x:c r="E178" s="37" t="str">
        <x:v>Prompt-building environment that can copy/send project and modification prompts into Lovable.</x:v>
      </x:c>
      <x:c r="F178" s="45" t="str">
        <x:v>DOS-018</x:v>
      </x:c>
      <x:c r="G178" s="45" t="str">
        <x:v>Prompt Vault / PromptOS / PromptForge</x:v>
      </x:c>
      <x:c r="H178" s="37" t="str">
        <x:v>Linked idea, capability, or project component</x:v>
      </x:c>
      <x:c r="I178" s="38" t="str">
        <x:v>High</x:v>
      </x:c>
    </x:row>
    <x:row r="179" ht="42" customHeight="1">
      <x:c r="A179" s="78" t="n">
        <x:v>173</x:v>
      </x:c>
      <x:c r="B179" s="37" t="str">
        <x:v>AI Source Material Repository</x:v>
      </x:c>
      <x:c r="C179" s="37" t="str">
        <x:v>`STANDALONE`, platform</x:v>
      </x:c>
      <x:c r="D179" s="37" t="str">
        <x:v>Standalone and Cross-Ecosystem Ventures, Inventions, Builds, and Business Seeds</x:v>
      </x:c>
      <x:c r="E179" s="37" t="str">
        <x:v>Repository/marketplace for source packets, prompts, instructions, workflows, context packs, examples, and AI-building material.</x:v>
      </x:c>
      <x:c r="F179" s="45" t="str">
        <x:v>DOS-019</x:v>
      </x:c>
      <x:c r="G179" s="45" t="str">
        <x:v>AI Source-Material Repository</x:v>
      </x:c>
      <x:c r="H179" s="37" t="str">
        <x:v>Linked idea, capability, or project component</x:v>
      </x:c>
      <x:c r="I179" s="38" t="str">
        <x:v>High</x:v>
      </x:c>
    </x:row>
    <x:row r="180" ht="42" customHeight="1">
      <x:c r="A180" s="78" t="n">
        <x:v>174</x:v>
      </x:c>
      <x:c r="B180" s="37" t="str">
        <x:v>Creator Profiles + Source Rankings</x:v>
      </x:c>
      <x:c r="C180" s="37" t="str">
        <x:v>`STANDALONE`, marketplace layer</x:v>
      </x:c>
      <x:c r="D180" s="37" t="str">
        <x:v>Standalone and Cross-Ecosystem Ventures, Inventions, Builds, and Business Seeds</x:v>
      </x:c>
      <x:c r="E180" s="37" t="str">
        <x:v>Creator pages, installs, verification, categories, reviews, discovery, and reusable source assets.</x:v>
      </x:c>
      <x:c r="F180" s="45" t="str">
        <x:v>DOS-019</x:v>
      </x:c>
      <x:c r="G180" s="45" t="str">
        <x:v>AI Source-Material Repository</x:v>
      </x:c>
      <x:c r="H180" s="37" t="str">
        <x:v>Linked idea, capability, or project component</x:v>
      </x:c>
      <x:c r="I180" s="38" t="str">
        <x:v>High</x:v>
      </x:c>
    </x:row>
    <x:row r="181" ht="42" customHeight="1">
      <x:c r="A181" s="78" t="n">
        <x:v>175</x:v>
      </x:c>
      <x:c r="B181" s="37" t="str">
        <x:v>Tax☯︎Gen / TaxOGen</x:v>
      </x:c>
      <x:c r="C181" s="37" t="str">
        <x:v>`STANDALONE`, multimedia app</x:v>
      </x:c>
      <x:c r="D181" s="37" t="str">
        <x:v>Standalone and Cross-Ecosystem Ventures, Inventions, Builds, and Business Seeds</x:v>
      </x:c>
      <x:c r="E181" s="37" t="str">
        <x:v>Taxonomy-driven generator using fields weighted by strictness/importance; lower importance permits more variation; proposed 16-image batches.</x:v>
      </x:c>
      <x:c r="F181" s="45" t="str">
        <x:v>DOS-016</x:v>
      </x:c>
      <x:c r="G181" s="45" t="str">
        <x:v>TaxOGen</x:v>
      </x:c>
      <x:c r="H181" s="37" t="str">
        <x:v>Linked idea, capability, or project component</x:v>
      </x:c>
      <x:c r="I181" s="38" t="str">
        <x:v>High</x:v>
      </x:c>
    </x:row>
    <x:row r="182" ht="42" customHeight="1">
      <x:c r="A182" s="78" t="n">
        <x:v>176</x:v>
      </x:c>
      <x:c r="B182" s="37" t="str">
        <x:v>Personal AI Partner Bot / Familiar AI / MirrorMind / SelfOS</x:v>
      </x:c>
      <x:c r="C182" s="37" t="str">
        <x:v>`STANDALONE`, app</x:v>
      </x:c>
      <x:c r="D182" s="37" t="str">
        <x:v>Standalone and Cross-Ecosystem Ventures, Inventions, Builds, and Business Seeds</x:v>
      </x:c>
      <x:c r="E182" s="37" t="str">
        <x:v>Deeply personalized thinking partner built through organic interviews, memory, casual conversation, and self-discovery.</x:v>
      </x:c>
      <x:c r="F182" s="45" t="str">
        <x:v>DOS-022</x:v>
      </x:c>
      <x:c r="G182" s="45" t="str">
        <x:v>Personal AI Partner / SelfOS</x:v>
      </x:c>
      <x:c r="H182" s="37" t="str">
        <x:v>Linked idea, capability, or project component</x:v>
      </x:c>
      <x:c r="I182" s="38" t="str">
        <x:v>High</x:v>
      </x:c>
    </x:row>
    <x:row r="183" ht="42" customHeight="1">
      <x:c r="A183" s="78" t="n">
        <x:v>177</x:v>
      </x:c>
      <x:c r="B183" s="37" t="str">
        <x:v>Personal Interview + Memory Engine</x:v>
      </x:c>
      <x:c r="C183" s="37" t="str">
        <x:v>`STANDALONE`, module</x:v>
      </x:c>
      <x:c r="D183" s="37" t="str">
        <x:v>Standalone and Cross-Ecosystem Ventures, Inventions, Builds, and Business Seeds</x:v>
      </x:c>
      <x:c r="E183" s="37" t="str">
        <x:v>Learns goals, fears, strengths, struggles, personality, history, and preferred advice rather than behaving like a generic chatbot.</x:v>
      </x:c>
      <x:c r="F183" s="45" t="str">
        <x:v>DOS-022</x:v>
      </x:c>
      <x:c r="G183" s="45" t="str">
        <x:v>Personal AI Partner / SelfOS</x:v>
      </x:c>
      <x:c r="H183" s="37" t="str">
        <x:v>Linked idea, capability, or project component</x:v>
      </x:c>
      <x:c r="I183" s="38" t="str">
        <x:v>High</x:v>
      </x:c>
    </x:row>
    <x:row r="184" ht="42" customHeight="1">
      <x:c r="A184" s="78" t="n">
        <x:v>178</x:v>
      </x:c>
      <x:c r="B184" s="37" t="str">
        <x:v>AI Supplement</x:v>
      </x:c>
      <x:c r="C184" s="37" t="str">
        <x:v>`STANDALONE`, companion app</x:v>
      </x:c>
      <x:c r="D184" s="37" t="str">
        <x:v>Standalone and Cross-Ecosystem Ventures, Inventions, Builds, and Business Seeds</x:v>
      </x:c>
      <x:c r="E184" s="37" t="str">
        <x:v>Explains AI platforms, settings, tools, stacks, prompts, GPTs, trends, reviews, and workflows beside the user’s main AI app.</x:v>
      </x:c>
      <x:c r="F184" s="45" t="str">
        <x:v>DOS-021</x:v>
      </x:c>
      <x:c r="G184" s="45" t="str">
        <x:v>AI Supplement</x:v>
      </x:c>
      <x:c r="H184" s="37" t="str">
        <x:v>Linked idea, capability, or project component</x:v>
      </x:c>
      <x:c r="I184" s="38" t="str">
        <x:v>High</x:v>
      </x:c>
    </x:row>
    <x:row r="185" ht="42" customHeight="1">
      <x:c r="A185" s="78" t="n">
        <x:v>179</x:v>
      </x:c>
      <x:c r="B185" s="37" t="str">
        <x:v>Split-Screen-First Companion App Ecosystem</x:v>
      </x:c>
      <x:c r="C185" s="37" t="str">
        <x:v>`STANDALONE`, product family</x:v>
      </x:c>
      <x:c r="D185" s="37" t="str">
        <x:v>Standalone and Cross-Ecosystem Ventures, Inventions, Builds, and Business Seeds</x:v>
      </x:c>
      <x:c r="E185" s="37" t="str">
        <x:v>One-third-screen-or-less utilities supporting another app, website, meeting, video, or real-world task.</x:v>
      </x:c>
      <x:c r="F185" s="45" t="str">
        <x:v>DOS-032</x:v>
      </x:c>
      <x:c r="G185" s="45" t="str">
        <x:v>Microtool Studio &amp; Split-Screen Companions</x:v>
      </x:c>
      <x:c r="H185" s="37" t="str">
        <x:v>Linked idea, capability, or project component</x:v>
      </x:c>
      <x:c r="I185" s="38" t="str">
        <x:v>High</x:v>
      </x:c>
    </x:row>
    <x:row r="186" ht="42" customHeight="1">
      <x:c r="A186" s="78" t="n">
        <x:v>180</x:v>
      </x:c>
      <x:c r="B186" s="37" t="str">
        <x:v>The Literalizer™</x:v>
      </x:c>
      <x:c r="C186" s="37" t="str">
        <x:v>`STANDALONE`, app/service</x:v>
      </x:c>
      <x:c r="D186" s="37" t="str">
        <x:v>Standalone and Cross-Ecosystem Ventures, Inventions, Builds, and Business Seeds</x:v>
      </x:c>
      <x:c r="E186" s="37" t="str">
        <x:v>Converts legal, corporate, political, medical, AI, HR, government, and real-estate jargon into short, literal, funny “Actualese.”</x:v>
      </x:c>
      <x:c r="F186" s="45" t="str">
        <x:v>DOS-024</x:v>
      </x:c>
      <x:c r="G186" s="45" t="str">
        <x:v>The Literalizer / Bullshit X-Ray</x:v>
      </x:c>
      <x:c r="H186" s="37" t="str">
        <x:v>Linked idea, capability, or project component</x:v>
      </x:c>
      <x:c r="I186" s="38" t="str">
        <x:v>High</x:v>
      </x:c>
    </x:row>
    <x:row r="187" ht="42" customHeight="1">
      <x:c r="A187" s="78" t="n">
        <x:v>181</x:v>
      </x:c>
      <x:c r="B187" s="37" t="str">
        <x:v>Specialized Literalizers</x:v>
      </x:c>
      <x:c r="C187" s="37" t="str">
        <x:v>`STANDALONE`, product line</x:v>
      </x:c>
      <x:c r="D187" s="37" t="str">
        <x:v>Standalone and Cross-Ecosystem Ventures, Inventions, Builds, and Business Seeds</x:v>
      </x:c>
      <x:c r="E187" s="37" t="str">
        <x:v>Terms &amp; Conditions, Corporate, Medical, Political, AI, HR, Government, and Real-Estate editions.</x:v>
      </x:c>
      <x:c r="F187" s="45" t="str">
        <x:v>DOS-024</x:v>
      </x:c>
      <x:c r="G187" s="45" t="str">
        <x:v>The Literalizer / Bullshit X-Ray</x:v>
      </x:c>
      <x:c r="H187" s="37" t="str">
        <x:v>Linked idea, capability, or project component</x:v>
      </x:c>
      <x:c r="I187" s="38" t="str">
        <x:v>High</x:v>
      </x:c>
    </x:row>
    <x:row r="188" ht="42" customHeight="1">
      <x:c r="A188" s="78" t="n">
        <x:v>182</x:v>
      </x:c>
      <x:c r="B188" s="37" t="str">
        <x:v>Lee Gull &amp; Otis ’M</x:v>
      </x:c>
      <x:c r="C188" s="37" t="str">
        <x:v>`STANDALONE`, characters/show/app</x:v>
      </x:c>
      <x:c r="D188" s="37" t="str">
        <x:v>Standalone and Cross-Ecosystem Ventures, Inventions, Builds, and Business Seeds</x:v>
      </x:c>
      <x:c r="E188" s="37" t="str">
        <x:v>Alien Jargonite lawyer/translator duo framing the Literalizer as entertainment and explainable comedy.</x:v>
      </x:c>
      <x:c r="F188" s="45" t="str">
        <x:v>DOS-024</x:v>
      </x:c>
      <x:c r="G188" s="45" t="str">
        <x:v>The Literalizer / Bullshit X-Ray</x:v>
      </x:c>
      <x:c r="H188" s="37" t="str">
        <x:v>Linked idea, capability, or project component</x:v>
      </x:c>
      <x:c r="I188" s="38" t="str">
        <x:v>High</x:v>
      </x:c>
    </x:row>
    <x:row r="189" ht="42" customHeight="1">
      <x:c r="A189" s="78" t="n">
        <x:v>183</x:v>
      </x:c>
      <x:c r="B189" s="37" t="str">
        <x:v>Homeless Outreach App / Community Outreach AI Platform</x:v>
      </x:c>
      <x:c r="C189" s="37" t="str">
        <x:v>`STANDALONE`, social-impact app</x:v>
      </x:c>
      <x:c r="D189" s="37" t="str">
        <x:v>Standalone and Cross-Ecosystem Ventures, Inventions, Builds, and Business Seeds</x:v>
      </x:c>
      <x:c r="E189" s="37" t="str">
        <x:v>Central profiles, needs assessment, resources, benefits, jobs, scheduling, reminders, progress, and encouragement.</x:v>
      </x:c>
      <x:c r="F189" s="45" t="str">
        <x:v>DOS-025</x:v>
      </x:c>
      <x:c r="G189" s="45" t="str">
        <x:v>Community Outreach Platform</x:v>
      </x:c>
      <x:c r="H189" s="37" t="str">
        <x:v>Linked idea, capability, or project component</x:v>
      </x:c>
      <x:c r="I189" s="38" t="str">
        <x:v>High</x:v>
      </x:c>
    </x:row>
    <x:row r="190" ht="42" customHeight="1">
      <x:c r="A190" s="78" t="n">
        <x:v>184</x:v>
      </x:c>
      <x:c r="B190" s="37" t="str">
        <x:v>AI Advocate + Family/Emergency Layer</x:v>
      </x:c>
      <x:c r="C190" s="37" t="str">
        <x:v>`STANDALONE`, module</x:v>
      </x:c>
      <x:c r="D190" s="37" t="str">
        <x:v>Standalone and Cross-Ecosystem Ventures, Inventions, Builds, and Business Seeds</x:v>
      </x:c>
      <x:c r="E190" s="37" t="str">
        <x:v>Advocacy agent, supporter updates, optional location, and emergency-alert functions for outreach users.</x:v>
      </x:c>
      <x:c r="F190" s="45" t="str">
        <x:v>DOS-025</x:v>
      </x:c>
      <x:c r="G190" s="45" t="str">
        <x:v>Community Outreach Platform</x:v>
      </x:c>
      <x:c r="H190" s="37" t="str">
        <x:v>Linked idea, capability, or project component</x:v>
      </x:c>
      <x:c r="I190" s="38" t="str">
        <x:v>High</x:v>
      </x:c>
    </x:row>
    <x:row r="191" ht="42" customHeight="1">
      <x:c r="A191" s="78" t="n">
        <x:v>185</x:v>
      </x:c>
      <x:c r="B191" s="37" t="str">
        <x:v>Teaching AI + Cell Phones</x:v>
      </x:c>
      <x:c r="C191" s="37" t="str">
        <x:v>`STANDALONE`, service</x:v>
      </x:c>
      <x:c r="D191" s="37" t="str">
        <x:v>Standalone and Cross-Ecosystem Ventures, Inventions, Builds, and Business Seeds</x:v>
      </x:c>
      <x:c r="E191" s="37" t="str">
        <x:v>In-person education for business owners, seniors, and overwhelmed users, plus roadshows, YouTube, and current-tool resources.</x:v>
      </x:c>
      <x:c r="F191" s="45" t="str">
        <x:v>DOS-023</x:v>
      </x:c>
      <x:c r="G191" s="45" t="str">
        <x:v>Teaching AI + Cell Phones / AI Schoolhouse</x:v>
      </x:c>
      <x:c r="H191" s="37" t="str">
        <x:v>Linked idea, capability, or project component</x:v>
      </x:c>
      <x:c r="I191" s="38" t="str">
        <x:v>High</x:v>
      </x:c>
    </x:row>
    <x:row r="192" ht="42" customHeight="1">
      <x:c r="A192" s="78" t="n">
        <x:v>186</x:v>
      </x:c>
      <x:c r="B192" s="37" t="str">
        <x:v>AI Teaching Franchise</x:v>
      </x:c>
      <x:c r="C192" s="37" t="str">
        <x:v>`STANDALONE`, business model</x:v>
      </x:c>
      <x:c r="D192" s="37" t="str">
        <x:v>Standalone and Cross-Ecosystem Ventures, Inventions, Builds, and Business Seeds</x:v>
      </x:c>
      <x:c r="E192" s="37" t="str">
        <x:v>Standard curriculum, certification, locations, mobile units, online courses, and community partnerships.</x:v>
      </x:c>
      <x:c r="F192" s="45" t="str">
        <x:v>DOS-023</x:v>
      </x:c>
      <x:c r="G192" s="45" t="str">
        <x:v>Teaching AI + Cell Phones / AI Schoolhouse</x:v>
      </x:c>
      <x:c r="H192" s="37" t="str">
        <x:v>Linked idea, capability, or project component</x:v>
      </x:c>
      <x:c r="I192" s="38" t="str">
        <x:v>High</x:v>
      </x:c>
    </x:row>
    <x:row r="193" ht="42" customHeight="1">
      <x:c r="A193" s="78" t="n">
        <x:v>187</x:v>
      </x:c>
      <x:c r="B193" s="37" t="str">
        <x:v>AI No-Code Builder Knowledge Base</x:v>
      </x:c>
      <x:c r="C193" s="37" t="str">
        <x:v>`STANDALONE`, platform</x:v>
      </x:c>
      <x:c r="D193" s="37" t="str">
        <x:v>Standalone and Cross-Ecosystem Ventures, Inventions, Builds, and Business Seeds</x:v>
      </x:c>
      <x:c r="E193" s="37" t="str">
        <x:v>Structured comparisons, scoring, recommendations, tutorials, and ongoing intelligence about AI app/site builders and agents.</x:v>
      </x:c>
      <x:c r="F193" s="45" t="str">
        <x:v>DOS-020</x:v>
      </x:c>
      <x:c r="G193" s="45" t="str">
        <x:v>Census + Dossier Builder Advisor / Public Selector</x:v>
      </x:c>
      <x:c r="H193" s="37" t="str">
        <x:v>Linked idea, capability, or project component</x:v>
      </x:c>
      <x:c r="I193" s="38" t="str">
        <x:v>High</x:v>
      </x:c>
    </x:row>
    <x:row r="194" ht="42" customHeight="1">
      <x:c r="A194" s="78" t="n">
        <x:v>188</x:v>
      </x:c>
      <x:c r="B194" s="37" t="str">
        <x:v>Unicode Branding App</x:v>
      </x:c>
      <x:c r="C194" s="37" t="str">
        <x:v>`STANDALONE`/`ZAF-adjacent`, app</x:v>
      </x:c>
      <x:c r="D194" s="37" t="str">
        <x:v>Standalone and Cross-Ecosystem Ventures, Inventions, Builds, and Business Seeds</x:v>
      </x:c>
      <x:c r="E194" s="37" t="str">
        <x:v>Unicode/glyph identity and branding generator; also considered as a benchmark build across app builders.</x:v>
      </x:c>
      <x:c r="F194" s="45" t="str">
        <x:v>DOS-015</x:v>
      </x:c>
      <x:c r="G194" s="45" t="str">
        <x:v>ZAF Identity StudioZ / Unicode Universe</x:v>
      </x:c>
      <x:c r="H194" s="37" t="str">
        <x:v>Linked idea, capability, or project component</x:v>
      </x:c>
      <x:c r="I194" s="38" t="str">
        <x:v>High</x:v>
      </x:c>
    </x:row>
    <x:row r="195" ht="42" customHeight="1">
      <x:c r="A195" s="78" t="n">
        <x:v>189</x:v>
      </x:c>
      <x:c r="B195" s="37" t="str">
        <x:v>Smart Strap Kit™</x:v>
      </x:c>
      <x:c r="C195" s="37" t="str">
        <x:v>`STANDALONE`, physical MVP</x:v>
      </x:c>
      <x:c r="D195" s="37" t="str">
        <x:v>Standalone and Cross-Ecosystem Ventures, Inventions, Builds, and Business Seeds</x:v>
      </x:c>
      <x:c r="E195" s="37" t="str">
        <x:v>Strap sleeve, hands-free phone mount/boom, charging, key retractors, and utility add-ons for existing backpacks.</x:v>
      </x:c>
      <x:c r="F195" s="45" t="str">
        <x:v>DOS-033</x:v>
      </x:c>
      <x:c r="G195" s="45" t="str">
        <x:v>Smart Strap Kit &amp; Modular Backpack</x:v>
      </x:c>
      <x:c r="H195" s="37" t="str">
        <x:v>Linked idea, capability, or project component</x:v>
      </x:c>
      <x:c r="I195" s="38" t="str">
        <x:v>High</x:v>
      </x:c>
    </x:row>
    <x:row r="196" ht="42" customHeight="1">
      <x:c r="A196" s="78" t="n">
        <x:v>190</x:v>
      </x:c>
      <x:c r="B196" s="37" t="str">
        <x:v>Modular Smart Backpack Ecosystem</x:v>
      </x:c>
      <x:c r="C196" s="37" t="str">
        <x:v>`STANDALONE`, physical product</x:v>
      </x:c>
      <x:c r="D196" s="37" t="str">
        <x:v>Standalone and Cross-Ecosystem Ventures, Inventions, Builds, and Business Seeds</x:v>
      </x:c>
      <x:c r="E196" s="37" t="str">
        <x:v>Premium tactical “man-purse” with removable fanny/sling/cosmetic bags, expansion, rigidity, and briefcase/suitcase modes.</x:v>
      </x:c>
      <x:c r="F196" s="45" t="str">
        <x:v>DOS-033</x:v>
      </x:c>
      <x:c r="G196" s="45" t="str">
        <x:v>Smart Strap Kit &amp; Modular Backpack</x:v>
      </x:c>
      <x:c r="H196" s="37" t="str">
        <x:v>Linked idea, capability, or project component</x:v>
      </x:c>
      <x:c r="I196" s="38" t="str">
        <x:v>High</x:v>
      </x:c>
    </x:row>
    <x:row r="197" ht="42" customHeight="1">
      <x:c r="A197" s="78" t="n">
        <x:v>191</x:v>
      </x:c>
      <x:c r="B197" s="37" t="str">
        <x:v>Advanced Backpack Systems</x:v>
      </x:c>
      <x:c r="C197" s="37" t="str">
        <x:v>`STANDALONE`, future modules</x:v>
      </x:c>
      <x:c r="D197" s="37" t="str">
        <x:v>Standalone and Cross-Ecosystem Ventures, Inventions, Builds, and Business Seeds</x:v>
      </x:c>
      <x:c r="E197" s="37" t="str">
        <x:v>Massage/airflow nodes, MOLLE, solar/battery, lighting, hydration, umbrella/pole holsters, and convertible carrying.</x:v>
      </x:c>
      <x:c r="F197" s="45" t="str">
        <x:v>DOS-033</x:v>
      </x:c>
      <x:c r="G197" s="45" t="str">
        <x:v>Smart Strap Kit &amp; Modular Backpack</x:v>
      </x:c>
      <x:c r="H197" s="37" t="str">
        <x:v>Linked idea, capability, or project component</x:v>
      </x:c>
      <x:c r="I197" s="38" t="str">
        <x:v>High</x:v>
      </x:c>
    </x:row>
    <x:row r="198" ht="42" customHeight="1">
      <x:c r="A198" s="78" t="n">
        <x:v>192</x:v>
      </x:c>
      <x:c r="B198" s="37" t="str">
        <x:v>Serenity Pits</x:v>
      </x:c>
      <x:c r="C198" s="37" t="str">
        <x:v>`STANDALONE`, physical/service</x:v>
      </x:c>
      <x:c r="D198" s="37" t="str">
        <x:v>Standalone and Cross-Ecosystem Ventures, Inventions, Builds, and Business Seeds</x:v>
      </x:c>
      <x:c r="E198" s="37" t="str">
        <x:v>Modular backyard relaxation/escape zones combining fire, seating, atmosphere, and psychological retreat.</x:v>
      </x:c>
      <x:c r="F198" s="45" t="str">
        <x:v>DOS-034</x:v>
      </x:c>
      <x:c r="G198" s="45" t="str">
        <x:v>Serenity Pits / Serenity Pods</x:v>
      </x:c>
      <x:c r="H198" s="37" t="str">
        <x:v>Linked idea, capability, or project component</x:v>
      </x:c>
      <x:c r="I198" s="38" t="str">
        <x:v>High</x:v>
      </x:c>
    </x:row>
    <x:row r="199" ht="42" customHeight="1">
      <x:c r="A199" s="78" t="n">
        <x:v>193</x:v>
      </x:c>
      <x:c r="B199" s="37" t="str">
        <x:v>Serenity Pit Ecosystem</x:v>
      </x:c>
      <x:c r="C199" s="37" t="str">
        <x:v>`STANDALONE`, premium system</x:v>
      </x:c>
      <x:c r="D199" s="37" t="str">
        <x:v>Standalone and Cross-Ecosystem Ventures, Inventions, Builds, and Business Seeds</x:v>
      </x:c>
      <x:c r="E199" s="37" t="str">
        <x:v>Fire, water, lighting, sound, scent, and app-controlled ambiance.</x:v>
      </x:c>
      <x:c r="F199" s="45" t="str">
        <x:v>DOS-034</x:v>
      </x:c>
      <x:c r="G199" s="45" t="str">
        <x:v>Serenity Pits / Serenity Pods</x:v>
      </x:c>
      <x:c r="H199" s="37" t="str">
        <x:v>Linked idea, capability, or project component</x:v>
      </x:c>
      <x:c r="I199" s="38" t="str">
        <x:v>High</x:v>
      </x:c>
    </x:row>
    <x:row r="200" ht="42" customHeight="1">
      <x:c r="A200" s="78" t="n">
        <x:v>194</x:v>
      </x:c>
      <x:c r="B200" s="37" t="str">
        <x:v>Serenity Starter Kit + Serenity Pods</x:v>
      </x:c>
      <x:c r="C200" s="37" t="str">
        <x:v>`STANDALONE`, variants</x:v>
      </x:c>
      <x:c r="D200" s="37" t="str">
        <x:v>Standalone and Cross-Ecosystem Ventures, Inventions, Builds, and Business Seeds</x:v>
      </x:c>
      <x:c r="E200" s="37" t="str">
        <x:v>Installable seating/fire/lighting package plus portable indoor/outdoor micro-retreats.</x:v>
      </x:c>
      <x:c r="F200" s="45" t="str">
        <x:v>DOS-034</x:v>
      </x:c>
      <x:c r="G200" s="45" t="str">
        <x:v>Serenity Pits / Serenity Pods</x:v>
      </x:c>
      <x:c r="H200" s="37" t="str">
        <x:v>Linked idea, capability, or project component</x:v>
      </x:c>
      <x:c r="I200" s="38" t="str">
        <x:v>High</x:v>
      </x:c>
    </x:row>
    <x:row r="201" ht="42" customHeight="1">
      <x:c r="A201" s="78" t="n">
        <x:v>195</x:v>
      </x:c>
      <x:c r="B201" s="37" t="str">
        <x:v>Single-Trip Roadside Assistance</x:v>
      </x:c>
      <x:c r="C201" s="37" t="str">
        <x:v>`SEED`, service/insurance-adjacent</x:v>
      </x:c>
      <x:c r="D201" s="37" t="str">
        <x:v>Standalone and Cross-Ecosystem Ventures, Inventions, Builds, and Business Seeds</x:v>
      </x:c>
      <x:c r="E201" s="37" t="str">
        <x:v>One-trip or one-event roadside coverage concept; original mechanics were not recovered.</x:v>
      </x:c>
      <x:c r="F201" s="45" t="str">
        <x:v>DOS-029</x:v>
      </x:c>
      <x:c r="G201" s="45" t="str">
        <x:v>Single-Trip Roadside Assistance</x:v>
      </x:c>
      <x:c r="H201" s="37" t="str">
        <x:v>Preserved seed / definition needed</x:v>
      </x:c>
      <x:c r="I201" s="38" t="str">
        <x:v>High</x:v>
      </x:c>
    </x:row>
    <x:row r="202" ht="42" customHeight="1">
      <x:c r="A202" s="78" t="n">
        <x:v>196</x:v>
      </x:c>
      <x:c r="B202" s="37" t="str">
        <x:v>New Insurance</x:v>
      </x:c>
      <x:c r="C202" s="37" t="str">
        <x:v>`SEED`, business model</x:v>
      </x:c>
      <x:c r="D202" s="37" t="str">
        <x:v>Standalone and Cross-Ecosystem Ventures, Inventions, Builds, and Business Seeds</x:v>
      </x:c>
      <x:c r="E202" s="37" t="str">
        <x:v>Insurance-reinvention concept; **DETAILS UNRESOLVED**.</x:v>
      </x:c>
      <x:c r="F202" s="45" t="str">
        <x:v>DOS-054</x:v>
      </x:c>
      <x:c r="G202" s="45" t="str">
        <x:v>Insurance Reinvention Concepts</x:v>
      </x:c>
      <x:c r="H202" s="37" t="str">
        <x:v>Preserved seed / definition needed</x:v>
      </x:c>
      <x:c r="I202" s="38" t="str">
        <x:v>High</x:v>
      </x:c>
    </x:row>
    <x:row r="203" ht="42" customHeight="1">
      <x:c r="A203" s="78" t="n">
        <x:v>197</x:v>
      </x:c>
      <x:c r="B203" s="37" t="str">
        <x:v>Travel Insurance</x:v>
      </x:c>
      <x:c r="C203" s="37" t="str">
        <x:v>`SEED`, business model</x:v>
      </x:c>
      <x:c r="D203" s="37" t="str">
        <x:v>Standalone and Cross-Ecosystem Ventures, Inventions, Builds, and Business Seeds</x:v>
      </x:c>
      <x:c r="E203" s="37" t="str">
        <x:v>Travel-risk product concept; **DETAILS UNRESOLVED**.</x:v>
      </x:c>
      <x:c r="F203" s="45" t="str">
        <x:v>DOS-054</x:v>
      </x:c>
      <x:c r="G203" s="45" t="str">
        <x:v>Insurance Reinvention Concepts</x:v>
      </x:c>
      <x:c r="H203" s="37" t="str">
        <x:v>Preserved seed / definition needed</x:v>
      </x:c>
      <x:c r="I203" s="38" t="str">
        <x:v>High</x:v>
      </x:c>
    </x:row>
    <x:row r="204" ht="42" customHeight="1">
      <x:c r="A204" s="78" t="n">
        <x:v>198</x:v>
      </x:c>
      <x:c r="B204" s="37" t="str">
        <x:v>Balanced Party</x:v>
      </x:c>
      <x:c r="C204" s="37" t="str">
        <x:v>`SEED`, civic/business concept</x:v>
      </x:c>
      <x:c r="D204" s="37" t="str">
        <x:v>Standalone and Cross-Ecosystem Ventures, Inventions, Builds, and Business Seeds</x:v>
      </x:c>
      <x:c r="E204" s="37" t="str">
        <x:v>Known named idea; **DETAILS UNRESOLVED**.</x:v>
      </x:c>
      <x:c r="F204" s="45" t="str">
        <x:v>DOS-056</x:v>
      </x:c>
      <x:c r="G204" s="45" t="str">
        <x:v>Balanced Party</x:v>
      </x:c>
      <x:c r="H204" s="37" t="str">
        <x:v>Preserved seed / definition needed</x:v>
      </x:c>
      <x:c r="I204" s="38" t="str">
        <x:v>High</x:v>
      </x:c>
    </x:row>
    <x:row r="205" ht="42" customHeight="1">
      <x:c r="A205" s="78" t="n">
        <x:v>199</x:v>
      </x:c>
      <x:c r="B205" s="37" t="str">
        <x:v>Airport–Mall Hybrid</x:v>
      </x:c>
      <x:c r="C205" s="37" t="str">
        <x:v>`MERGED`/precursor</x:v>
      </x:c>
      <x:c r="D205" s="37" t="str">
        <x:v>Standalone and Cross-Ecosystem Ventures, Inventions, Builds, and Business Seeds</x:v>
      </x:c>
      <x:c r="E205" s="37" t="str">
        <x:v>Broad centralized service-and-gathering concept that appears to have evolved into the ZAFtastic Community Hub.</x:v>
      </x:c>
      <x:c r="F205" s="45" t="str">
        <x:v>DOS-037</x:v>
      </x:c>
      <x:c r="G205" s="45" t="str">
        <x:v>ZAFtastic Community Hub / Life Hub</x:v>
      </x:c>
      <x:c r="H205" s="37" t="str">
        <x:v>Linked idea, capability, or project component</x:v>
      </x:c>
      <x:c r="I205" s="38" t="str">
        <x:v>High</x:v>
      </x:c>
    </x:row>
    <x:row r="206" ht="42" customHeight="1">
      <x:c r="A206" s="78" t="n">
        <x:v>200</x:v>
      </x:c>
      <x:c r="B206" s="37" t="str">
        <x:v>AmazeBallsDeep</x:v>
      </x:c>
      <x:c r="C206" s="37" t="str">
        <x:v>`STANDALONE`, merch brand</x:v>
      </x:c>
      <x:c r="D206" s="37" t="str">
        <x:v>Standalone and Cross-Ecosystem Ventures, Inventions, Builds, and Business Seeds</x:v>
      </x:c>
      <x:c r="E206" s="37" t="str">
        <x:v>Shock-value, controversial, intentionally offensive print-on-demand merchandise/cash-flow experiment.</x:v>
      </x:c>
      <x:c r="F206" s="45" t="str">
        <x:v>DOS-035</x:v>
      </x:c>
      <x:c r="G206" s="45" t="str">
        <x:v>AmazeBallsDeep</x:v>
      </x:c>
      <x:c r="H206" s="37" t="str">
        <x:v>Linked idea, capability, or project component</x:v>
      </x:c>
      <x:c r="I206" s="38" t="str">
        <x:v>High</x:v>
      </x:c>
    </x:row>
    <x:row r="207" ht="42" customHeight="1">
      <x:c r="A207" s="78" t="n">
        <x:v>201</x:v>
      </x:c>
      <x:c r="B207" s="37" t="str">
        <x:v>Doggy Styles</x:v>
      </x:c>
      <x:c r="C207" s="37" t="str">
        <x:v>`STANDALONE`, ecommerce</x:v>
      </x:c>
      <x:c r="D207" s="37" t="str">
        <x:v>Standalone and Cross-Ecosystem Ventures, Inventions, Builds, and Business Seeds</x:v>
      </x:c>
      <x:c r="E207" s="37" t="str">
        <x:v>Custom pet store for owner and pet alike; previously considered for Shopify/Wix + Printful.</x:v>
      </x:c>
      <x:c r="F207" s="45" t="str">
        <x:v>DOS-036</x:v>
      </x:c>
      <x:c r="G207" s="45" t="str">
        <x:v>Doggy Styles</x:v>
      </x:c>
      <x:c r="H207" s="37" t="str">
        <x:v>Linked idea, capability, or project component</x:v>
      </x:c>
      <x:c r="I207" s="38" t="str">
        <x:v>High</x:v>
      </x:c>
    </x:row>
    <x:row r="208" ht="42" customHeight="1">
      <x:c r="A208" s="78" t="n">
        <x:v>202</x:v>
      </x:c>
      <x:c r="B208" s="37" t="str">
        <x:v>A–Guy Roofing &amp; Contracting Website</x:v>
      </x:c>
      <x:c r="C208" s="37" t="str">
        <x:v>`STANDALONE`, website build</x:v>
      </x:c>
      <x:c r="D208" s="37" t="str">
        <x:v>Standalone and Cross-Ecosystem Ventures, Inventions, Builds, and Business Seeds</x:v>
      </x:c>
      <x:c r="E208" s="37" t="str">
        <x:v>Separate informational/payment website and builder-comparison candidate.</x:v>
      </x:c>
      <x:c r="F208" s="45" t="str">
        <x:v>DOS-030</x:v>
      </x:c>
      <x:c r="G208" s="45" t="str">
        <x:v>A-Guy Roofing Gateway</x:v>
      </x:c>
      <x:c r="H208" s="37" t="str">
        <x:v>Linked idea, capability, or project component</x:v>
      </x:c>
      <x:c r="I208" s="38" t="str">
        <x:v>High</x:v>
      </x:c>
    </x:row>
    <x:row r="209" ht="42" customHeight="1">
      <x:c r="A209" s="78" t="n">
        <x:v>203</x:v>
      </x:c>
      <x:c r="B209" s="37" t="str">
        <x:v>QuoteCraft AI</x:v>
      </x:c>
      <x:c r="C209" s="37" t="str">
        <x:v>`PROTOTYPE`, Lovable build</x:v>
      </x:c>
      <x:c r="D209" s="37" t="str">
        <x:v>Standalone and Cross-Ecosystem Ventures, Inventions, Builds, and Business Seeds</x:v>
      </x:c>
      <x:c r="E209" s="37" t="str">
        <x:v>Rough work-in-progress AI project created while learning Lovable; full product scope remains unresolved.</x:v>
      </x:c>
      <x:c r="F209" s="45" t="str">
        <x:v>DOS-031</x:v>
      </x:c>
      <x:c r="G209" s="45" t="str">
        <x:v>QuoteCraft AI</x:v>
      </x:c>
      <x:c r="H209" s="37" t="str">
        <x:v>Linked idea, capability, or project component</x:v>
      </x:c>
      <x:c r="I209" s="38" t="str">
        <x:v>High</x:v>
      </x:c>
    </x:row>
    <x:row r="210" ht="42" customHeight="1">
      <x:c r="A210" s="78" t="n">
        <x:v>204</x:v>
      </x:c>
      <x:c r="B210" s="37" t="str">
        <x:v>Placeholder Project 1</x:v>
      </x:c>
      <x:c r="C210" s="37" t="str">
        <x:v>`PROTOTYPE`, Lovable build</x:v>
      </x:c>
      <x:c r="D210" s="37" t="str">
        <x:v>Standalone and Cross-Ecosystem Ventures, Inventions, Builds, and Business Seeds</x:v>
      </x:c>
      <x:c r="E210" s="37" t="str">
        <x:v>Early builder experiment; intentionally unresolved concept.</x:v>
      </x:c>
      <x:c r="F210" s="45" t="str">
        <x:v>DOS-042</x:v>
      </x:c>
      <x:c r="G210" s="45" t="str">
        <x:v>ZAF Strategy Council &amp; Builder Trials</x:v>
      </x:c>
      <x:c r="H210" s="37" t="str">
        <x:v>Linked idea, capability, or project component</x:v>
      </x:c>
      <x:c r="I210" s="38" t="str">
        <x:v>High</x:v>
      </x:c>
    </x:row>
    <x:row r="211" ht="42" customHeight="1">
      <x:c r="A211" s="78" t="n">
        <x:v>205</x:v>
      </x:c>
      <x:c r="B211" s="37" t="str">
        <x:v>Placeholder Project 2</x:v>
      </x:c>
      <x:c r="C211" s="37" t="str">
        <x:v>`PROTOTYPE`, Lovable build</x:v>
      </x:c>
      <x:c r="D211" s="37" t="str">
        <x:v>Standalone and Cross-Ecosystem Ventures, Inventions, Builds, and Business Seeds</x:v>
      </x:c>
      <x:c r="E211" s="37" t="str">
        <x:v>Second early builder experiment; intentionally unresolved concept.</x:v>
      </x:c>
      <x:c r="F211" s="45" t="str">
        <x:v>DOS-042</x:v>
      </x:c>
      <x:c r="G211" s="45" t="str">
        <x:v>ZAF Strategy Council &amp; Builder Trials</x:v>
      </x:c>
      <x:c r="H211" s="37" t="str">
        <x:v>Linked idea, capability, or project component</x:v>
      </x:c>
      <x:c r="I211" s="38" t="str">
        <x:v>High</x:v>
      </x:c>
    </x:row>
    <x:row r="212" ht="42" customHeight="1">
      <x:c r="A212" s="78" t="n">
        <x:v>206</x:v>
      </x:c>
      <x:c r="B212" s="37" t="str">
        <x:v>Large User-Controlled Social Platform</x:v>
      </x:c>
      <x:c r="C212" s="37" t="str">
        <x:v>`MERGED`/precursor</x:v>
      </x:c>
      <x:c r="D212" s="37" t="str">
        <x:v>Standalone and Cross-Ecosystem Ventures, Inventions, Builds, and Business Seeds</x:v>
      </x:c>
      <x:c r="E212" s="37" t="str">
        <x:v>Facebook/MySpace/LinkedIn/dating/commerce/philanthropy hybrid with customizable profiles, AI moderation, and data portability; substantially absorbed into Zafstagram’s larger vision.</x:v>
      </x:c>
      <x:c r="F212" s="45" t="str">
        <x:v>DOS-004</x:v>
      </x:c>
      <x:c r="G212" s="45" t="str">
        <x:v>Zafstagram</x:v>
      </x:c>
      <x:c r="H212" s="37" t="str">
        <x:v>Linked idea, capability, or project component</x:v>
      </x:c>
      <x:c r="I212" s="38" t="str">
        <x:v>High</x:v>
      </x:c>
    </x:row>
    <x:row r="213" ht="42" customHeight="1">
      <x:c r="A213" s="78" t="n">
        <x:v>207</x:v>
      </x:c>
      <x:c r="B213" s="37" t="str">
        <x:v>Movie / TV Pitch Development Slate</x:v>
      </x:c>
      <x:c r="C213" s="37" t="str">
        <x:v>`SEED`, media</x:v>
      </x:c>
      <x:c r="D213" s="37" t="str">
        <x:v>Standalone and Cross-Ecosystem Ventures, Inventions, Builds, and Business Seeds</x:v>
      </x:c>
      <x:c r="E213" s="37" t="str">
        <x:v>Ongoing film/show concept-development thread; individual story premises are not sufficiently recovered here to inventory safely.</x:v>
      </x:c>
      <x:c r="F213" s="45" t="str">
        <x:v>DOS-055</x:v>
      </x:c>
      <x:c r="G213" s="45" t="str">
        <x:v>Movie / TV Pitch Development Slate</x:v>
      </x:c>
      <x:c r="H213" s="37" t="str">
        <x:v>Preserved seed / definition needed</x:v>
      </x:c>
      <x:c r="I213" s="38" t="str">
        <x:v>High</x:v>
      </x:c>
    </x:row>
    <x:row r="214" ht="42" customHeight="1">
      <x:c r="A214" s="78" t="n">
        <x:v>208</x:v>
      </x:c>
      <x:c r="B214" s="37" t="str">
        <x:v>Single-Purpose Microapp Strategy</x:v>
      </x:c>
      <x:c r="C214" s="37" t="str">
        <x:v>`STANDALONE`, product thesis</x:v>
      </x:c>
      <x:c r="D214" s="37" t="str">
        <x:v>Standalone and Cross-Ecosystem Ventures, Inventions, Builds, and Business Seeds</x:v>
      </x:c>
      <x:c r="E214" s="37" t="str">
        <x:v>Small, obvious, purpose-driven tools that do one job well, especially for gaming, AI, and companion workflows.</x:v>
      </x:c>
      <x:c r="F214" s="45" t="str">
        <x:v>DOS-032</x:v>
      </x:c>
      <x:c r="G214" s="45" t="str">
        <x:v>Microtool Studio &amp; Split-Screen Companions</x:v>
      </x:c>
      <x:c r="H214" s="37" t="str">
        <x:v>Operating / business-model component</x:v>
      </x:c>
      <x:c r="I214" s="38" t="str">
        <x:v>High</x:v>
      </x:c>
    </x:row>
    <x:row r="215" ht="42" customHeight="1">
      <x:c r="A215" s="78" t="n">
        <x:v>209</x:v>
      </x:c>
      <x:c r="B215" s="37" t="str">
        <x:v>Harmony Finder Standalone Seed</x:v>
      </x:c>
      <x:c r="C215" s="37" t="str">
        <x:v>`MERGED`</x:v>
      </x:c>
      <x:c r="D215" s="37" t="str">
        <x:v>Standalone and Cross-Ecosystem Ventures, Inventions, Builds, and Business Seeds</x:v>
      </x:c>
      <x:c r="E215" s="37" t="str">
        <x:v>Harmony/collaboration utility now best housed inside KaraokeDokie’s Harmony Finder/Designer.</x:v>
      </x:c>
      <x:c r="F215" s="45" t="str">
        <x:v>DOS-046</x:v>
      </x:c>
      <x:c r="G215" s="45" t="str">
        <x:v>Song, Setlist &amp; Collaboration Tools</x:v>
      </x:c>
      <x:c r="H215" s="37" t="str">
        <x:v>Linked idea, capability, or project component</x:v>
      </x:c>
      <x:c r="I215" s="38" t="str">
        <x:v>High</x:v>
      </x:c>
    </x:row>
    <x:row r="216" ht="42" customHeight="1">
      <x:c r="A216" s="78" t="n">
        <x:v>210</x:v>
      </x:c>
      <x:c r="B216" s="37" t="str">
        <x:v>Karaoke Cover Creator Standalone Wedge</x:v>
      </x:c>
      <x:c r="C216" s="37" t="str">
        <x:v>`MERGED`</x:v>
      </x:c>
      <x:c r="D216" s="37" t="str">
        <x:v>Standalone and Cross-Ecosystem Ventures, Inventions, Builds, and Business Seeds</x:v>
      </x:c>
      <x:c r="E216" s="37" t="str">
        <x:v>Cover-photo generator concept absorbed into KaraokeDokie Phase 1.</x:v>
      </x:c>
      <x:c r="F216" s="45" t="str">
        <x:v>DOS-001</x:v>
      </x:c>
      <x:c r="G216" s="45" t="str">
        <x:v>KaraokeDokie — Phase 1</x:v>
      </x:c>
      <x:c r="H216" s="37" t="str">
        <x:v>Linked idea, capability, or project component</x:v>
      </x:c>
      <x:c r="I216" s="38" t="str">
        <x:v>High</x:v>
      </x:c>
    </x:row>
    <x:row r="217" ht="42" customHeight="1">
      <x:c r="A217" s="79" t="n">
        <x:v>211</x:v>
      </x:c>
      <x:c r="B217" s="40" t="str">
        <x:v>Duet Planner Standalone Seed</x:v>
      </x:c>
      <x:c r="C217" s="40" t="str">
        <x:v>`MERGED`</x:v>
      </x:c>
      <x:c r="D217" s="40" t="str">
        <x:v>Standalone and Cross-Ecosystem Ventures, Inventions, Builds, and Business Seeds</x:v>
      </x:c>
      <x:c r="E217" s="40" t="str">
        <x:v>Collaboration-planning concept absorbed into Duet Architect, Duet Randomizer, and the Friends &amp; Family facilitator role.</x:v>
      </x:c>
      <x:c r="F217" s="47" t="str">
        <x:v>DOS-008</x:v>
      </x:c>
      <x:c r="G217" s="47" t="str">
        <x:v>ZAF Duet Dare &amp; Collaboration</x:v>
      </x:c>
      <x:c r="H217" s="40" t="str">
        <x:v>Operating / business-model component</x:v>
      </x:c>
      <x:c r="I217" s="41" t="str">
        <x:v>High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a79033410115409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54" hidden="0" customWidth="1"/>
    <x:col min="3" max="3" width="54" hidden="0" customWidth="1"/>
    <x:col min="4" max="4" width="56" hidden="0" customWidth="1"/>
    <x:col min="5" max="5" width="24" hidden="0" customWidth="1"/>
    <x:col min="6" max="6" width="34" hidden="0" customWidth="1"/>
  </x:cols>
  <x:sheetData>
    <x:row r="1" ht="30" customHeight="1">
      <x:c r="A1" s="4" t="str">
        <x:v>SOURCE REGISTER — WHAT THIS DOSSIER DID AND DID NOT CHANGE</x:v>
      </x:c>
    </x:row>
    <x:row r="2" ht="28" customHeight="1">
      <x:c r="A2" s="8" t="str">
        <x:v>V.7 is a new demand-side synthesis. Earlier V.5/V.6 artifacts remain untouched.</x:v>
      </x:c>
    </x:row>
    <x:row r="6">
      <x:c r="A6" s="14" t="str">
        <x:v>Source ID</x:v>
      </x:c>
      <x:c r="B6" s="14" t="str">
        <x:v>Source</x:v>
      </x:c>
      <x:c r="C6" s="14" t="str">
        <x:v>What It Contributed</x:v>
      </x:c>
      <x:c r="D6" s="14" t="str">
        <x:v>V7 Treatment</x:v>
      </x:c>
      <x:c r="E6" s="14" t="str">
        <x:v>Status</x:v>
      </x:c>
      <x:c r="F6" s="14" t="str">
        <x:v>Notes</x:v>
      </x:c>
    </x:row>
    <x:row r="7" ht="52" customHeight="1">
      <x:c r="A7" s="59" t="str">
        <x:v>SRC-001</x:v>
      </x:c>
      <x:c r="B7" s="34" t="str">
        <x:v>Derek_Master_Venture_Inventory_2026-08-05.md</x:v>
      </x:c>
      <x:c r="C7" s="34" t="str">
        <x:v>211 recovered venture/project/module records</x:v>
      </x:c>
      <x:c r="D7" s="34" t="str">
        <x:v>Raw idea archive and parent mapping</x:v>
      </x:c>
      <x:c r="E7" s="34" t="str">
        <x:v>Read-only lineage</x:v>
      </x:c>
      <x:c r="F7" s="35" t="str"/>
    </x:row>
    <x:row r="8" ht="52" customHeight="1">
      <x:c r="A8" s="60" t="str">
        <x:v>SRC-002</x:v>
      </x:c>
      <x:c r="B8" s="37" t="str">
        <x:v>ZAF_Master_Venture_Concept_Registry_Cross_Reference_Edition.xlsx</x:v>
      </x:c>
      <x:c r="C8" s="37" t="str">
        <x:v>Stable ZAF-#### identifiers, types, parent ecosystem, status</x:v>
      </x:c>
      <x:c r="D8" s="37" t="str">
        <x:v>Registry anchors and parent/project distinction</x:v>
      </x:c>
      <x:c r="E8" s="37" t="str">
        <x:v>Read-only lineage</x:v>
      </x:c>
      <x:c r="F8" s="38" t="str"/>
    </x:row>
    <x:row r="9" ht="52" customHeight="1">
      <x:c r="A9" s="60" t="str">
        <x:v>SRC-003</x:v>
      </x:c>
      <x:c r="B9" s="37" t="str">
        <x:v>ZAF_Dossier_V5_2_FINAL_2026-08-10.xlsx</x:v>
      </x:c>
      <x:c r="C9" s="37" t="str">
        <x:v>Core Energy priorities plus build scopes and routes</x:v>
      </x:c>
      <x:c r="D9" s="37" t="str">
        <x:v>First-wave priority evidence and project entailment</x:v>
      </x:c>
      <x:c r="E9" s="37" t="str">
        <x:v>Read-only lineage</x:v>
      </x:c>
      <x:c r="F9" s="38" t="str"/>
    </x:row>
    <x:row r="10" ht="52" customHeight="1">
      <x:c r="A10" s="60" t="str">
        <x:v>SRC-004</x:v>
      </x:c>
      <x:c r="B10" s="37" t="str">
        <x:v>My_Invention_Ideas_Master_Priority_Ranking.xlsx</x:v>
      </x:c>
      <x:c r="C10" s="37" t="str">
        <x:v>150-item master priority signal</x:v>
      </x:c>
      <x:c r="D10" s="37" t="str">
        <x:v>Priority evidence where explicitly available</x:v>
      </x:c>
      <x:c r="E10" s="37" t="str">
        <x:v>Read-only lineage</x:v>
      </x:c>
      <x:c r="F10" s="38" t="str"/>
    </x:row>
    <x:row r="11" ht="52" customHeight="1">
      <x:c r="A11" s="60" t="str">
        <x:v>SRC-005</x:v>
      </x:c>
      <x:c r="B11" s="37" t="str">
        <x:v>ZAF_Census_V6.1_Personal_Evidence_System_2026-08-15.xlsx</x:v>
      </x:c>
      <x:c r="C11" s="37" t="str">
        <x:v>207-platform supply structure; blank FAM ontology</x:v>
      </x:c>
      <x:c r="D11" s="37" t="str">
        <x:v>Exact FAM-01…FAM-40 bridge target</x:v>
      </x:c>
      <x:c r="E11" s="37" t="str">
        <x:v>Read-only supply source</x:v>
      </x:c>
      <x:c r="F11" s="38" t="str"/>
    </x:row>
    <x:row r="12" ht="52" customHeight="1">
      <x:c r="A12" s="60" t="str">
        <x:v>SRC-006</x:v>
      </x:c>
      <x:c r="B12" s="37" t="str">
        <x:v>ZAF_Census_V6_1_Answer_Consolidation_Packet_2026_08_16.md</x:v>
      </x:c>
      <x:c r="C12" s="37" t="str">
        <x:v>Fractal sieve, strict/flexible route, scoring doctrine</x:v>
      </x:c>
      <x:c r="D12" s="37" t="str">
        <x:v>Fusion Bridge rules and Census/Dossier division</x:v>
      </x:c>
      <x:c r="E12" s="37" t="str">
        <x:v>Read-only decision doctrine</x:v>
      </x:c>
      <x:c r="F12" s="38" t="str"/>
    </x:row>
    <x:row r="13" ht="52" customHeight="1">
      <x:c r="A13" s="60" t="str">
        <x:v>SRC-007</x:v>
      </x:c>
      <x:c r="B13" s="37" t="str">
        <x:v>ZAF_Dossier_V6_Data_Analyst_QA_Report_2026-08-14.md</x:v>
      </x:c>
      <x:c r="C13" s="37" t="str">
        <x:v>Prior module-grain and requirement-quality failures</x:v>
      </x:c>
      <x:c r="D13" s="37" t="str">
        <x:v>Avoids treating modules/boilerplate as independent projects</x:v>
      </x:c>
      <x:c r="E13" s="37" t="str">
        <x:v>Read-only QA lineage</x:v>
      </x:c>
      <x:c r="F13" s="38" t="str"/>
    </x:row>
    <x:row r="14" ht="52" customHeight="1">
      <x:c r="A14" s="61" t="str">
        <x:v>SRC-008</x:v>
      </x:c>
      <x:c r="B14" s="40" t="str">
        <x:v>ZAF_Dossier_V6_1_Decision_Ledger.md</x:v>
      </x:c>
      <x:c r="C14" s="40" t="str">
        <x:v>Prior approved decision lineage</x:v>
      </x:c>
      <x:c r="D14" s="40" t="str">
        <x:v>Historical decisions, not overwritten</x:v>
      </x:c>
      <x:c r="E14" s="40" t="str">
        <x:v>Read-only experimental lineage</x:v>
      </x:c>
      <x:c r="F14" s="41" t="str"/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629054dbddf64fa7"/>
  </x:tableParts>
</x:worksheet>
</file>